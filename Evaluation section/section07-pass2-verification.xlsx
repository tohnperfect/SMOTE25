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des" sheetId="2" state="visible" r:id="rId4"/>
    <sheet name="citations" sheetId="3" state="visible" r:id="rId5"/>
    <sheet name="summary" sheetId="4" state="visible" r:id="rId6"/>
  </sheets>
  <definedNames>
    <definedName function="false" hidden="true" localSheetId="1" name="_xlnm._FilterDatabase" vbProcedure="false">codes!$A$1:$K$533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<sst xmlns="http://schemas.openxmlformats.org/spreadsheetml/2006/main" count="3561" uniqueCount="1332">
  <si>
    <t xml:space="preserve">Section 7, pass 2: verification sheet</t>
  </si>
  <si>
    <t xml:space="preserve">Every row is one value from the second, page-referenced reading of the 71 empirical studies (reasons for data, learners and measures; model-selection criterion and data; test methodology cited; evidence beyond classifier scores; explicit or implied selection of settings on evaluation data).</t>
  </si>
  <si>
    <t xml:space="preserve">How to use: open the PDF at the page in column G, compare with the quote in column F, then set column I (yellow) to verified, corrected or wrong. Put the corrected value and the page in column K.</t>
  </si>
  <si>
    <t xml:space="preserve">Column H shows the independent spot check already done on 20 claims (confirmed / partly). Partly confirmed claims were narrowed in the text.</t>
  </si>
  <si>
    <t xml:space="preserve">Sheet citations: OpenAlex counts used for the citation ratios, retrieved 2026-10-18. Sheet summary: counts by status, recalculated from the codes sheet.</t>
  </si>
  <si>
    <t xml:space="preserve">Example of a filled row: status = verified, checked_by = Tan, note = "quote matches p. 7".</t>
  </si>
  <si>
    <t xml:space="preserve">Generated from the Section 7 coded data; regenerate rather than edit the coded values by hand.</t>
  </si>
  <si>
    <t xml:space="preserve">key</t>
  </si>
  <si>
    <t xml:space="preserve">study</t>
  </si>
  <si>
    <t xml:space="preserve">year</t>
  </si>
  <si>
    <t xml:space="preserve">field</t>
  </si>
  <si>
    <t xml:space="preserve">coded value</t>
  </si>
  <si>
    <t xml:space="preserve">quote (verbatim, max 30 words)</t>
  </si>
  <si>
    <t xml:space="preserve">where in the paper</t>
  </si>
  <si>
    <t xml:space="preserve">spot check</t>
  </si>
  <si>
    <t xml:space="preserve">status</t>
  </si>
  <si>
    <t xml:space="preserve">checked_by</t>
  </si>
  <si>
    <t xml:space="preserve">correction / note</t>
  </si>
  <si>
    <t xml:space="preserve">OSS-1997</t>
  </si>
  <si>
    <t xml:space="preserve">OSS</t>
  </si>
  <si>
    <t xml:space="preserve">data: reasons</t>
  </si>
  <si>
    <t xml:space="preserve">application_domain, imbalance_level, public_benchmark</t>
  </si>
  <si>
    <t xml:space="preserve">experimented with some data files from the UCI repository (Murphy and Aha, 1994) so that other researchers can replicate the experiments and double-check our results.</t>
  </si>
  <si>
    <t xml:space="preserve">pdf p. 5, Sec. 4.1 (also pdf p. 2, Sec. 1)</t>
  </si>
  <si>
    <t xml:space="preserve">data: access</t>
  </si>
  <si>
    <t xml:space="preserve">all public=False; source per dataset=True; links=False; modified data released=False</t>
  </si>
  <si>
    <t xml:space="preserve">pdf p. 5, Sec. 4.1 and Table 3; pdf p. 7, Acknowledgements</t>
  </si>
  <si>
    <t xml:space="preserve">learners: reasons</t>
  </si>
  <si>
    <t xml:space="preserve">popular</t>
  </si>
  <si>
    <t xml:space="preserve">In particular, 1-NN and C4.5 were selected because of their widespread use and well-known performance.</t>
  </si>
  <si>
    <t xml:space="preserve">pdf p. 5, Sec. 4.1</t>
  </si>
  <si>
    <t xml:space="preserve">model selection</t>
  </si>
  <si>
    <t xml:space="preserve">selected: not stated | criterion: not stated | data: not stated</t>
  </si>
  <si>
    <t xml:space="preserve">measures: reasons</t>
  </si>
  <si>
    <t xml:space="preserve">accuracy_misleading, cost, other</t>
  </si>
  <si>
    <t xml:space="preserve">As pointed out by many authors, the classifier's performance in applications of this kind cannot be expressed in terms of the average accuracy</t>
  </si>
  <si>
    <t xml:space="preserve">pdf p. 1, Sec. 1; pdf p. 2, Sec. 2.1</t>
  </si>
  <si>
    <t xml:space="preserve">tests: methodology cited</t>
  </si>
  <si>
    <t xml:space="preserve">none</t>
  </si>
  <si>
    <t xml:space="preserve">beyond classifier scores</t>
  </si>
  <si>
    <t xml:space="preserve">other | Tables 4-7 report the number of training examples kept after each selection step (S, C, T) next to a+, a-, g and acc. Figs. 2-4 are schematic drawings of borderline, noisy and redundant negatives, not plots of data.</t>
  </si>
  <si>
    <t xml:space="preserve">pdf p. 6, Tables 4-7; pdf pp. 3-4, Figs. 2-4</t>
  </si>
  <si>
    <t xml:space="preserve">SHRINK-1998</t>
  </si>
  <si>
    <t xml:space="preserve">SHRINK</t>
  </si>
  <si>
    <t xml:space="preserve">application_domain</t>
  </si>
  <si>
    <t xml:space="preserve">In this paper we describe an application of machine learning to an important environmental problem: detection of oil spills from radar images of the sea surface.</t>
  </si>
  <si>
    <t xml:space="preserve">p. 195, Sec. 1; p. 206, Sec. 6 (images deliberately acquired to contain slicks)</t>
  </si>
  <si>
    <t xml:space="preserve">partly</t>
  </si>
  <si>
    <t xml:space="preserve">p. 204, Sec. 6; p. 205, Table 2</t>
  </si>
  <si>
    <t xml:space="preserve">none stated</t>
  </si>
  <si>
    <t xml:space="preserve">selected: best variant | criterion: G-mean | data: evaluation data</t>
  </si>
  <si>
    <t xml:space="preserve">Unfortunately, we had too little oil spill data to hold any out for final system testing in the development phase of the project.</t>
  </si>
  <si>
    <t xml:space="preserve">p. 203, Sec. 5 (g-mean as feedback on design decisions); p. 205, Sec. 6 (no held-out data)</t>
  </si>
  <si>
    <t xml:space="preserve">accuracy_misleading, threshold_free, minority_focus, cost</t>
  </si>
  <si>
    <t xml:space="preserve">This measure would have to address the clear inadequacy of accuracy, which is unuseable in our problem. To this end, we have mainly used the geometric mean</t>
  </si>
  <si>
    <t xml:space="preserve">pp. 201-203, Sec. 5</t>
  </si>
  <si>
    <t xml:space="preserve">p. 208, Sec. 7 (t-test on one-sided selection results, Table 3)</t>
  </si>
  <si>
    <t xml:space="preserve">settings chosen on evaluation data</t>
  </si>
  <si>
    <t xml:space="preserve">explicit</t>
  </si>
  <si>
    <t xml:space="preserve">SMOTE-2002</t>
  </si>
  <si>
    <t xml:space="preserve">SMOTE</t>
  </si>
  <si>
    <t xml:space="preserve">varied_characteristics</t>
  </si>
  <si>
    <t xml:space="preserve">These datasets vary extensively in their size and class proportions, thus offering different domains for SMOTE.</t>
  </si>
  <si>
    <t xml:space="preserve">p. 333, Sec. 5.1 (also p. 352, Sec. 7: 'varying degrees of imbalance ... diverse testbed')</t>
  </si>
  <si>
    <t xml:space="preserve">all public=False; source per dataset=True; links=True; modified data released=False</t>
  </si>
  <si>
    <t xml:space="preserve">pp. 328-334, Sec. 5.1, footnotes 1, 3, 4; Table 2</t>
  </si>
  <si>
    <t xml:space="preserve">other</t>
  </si>
  <si>
    <t xml:space="preserve">These different learning algorithms allowed SMOTE to be compared to some methods that can handle misclassification costs directly.</t>
  </si>
  <si>
    <t xml:space="preserve">p. 332, Sec. 5</t>
  </si>
  <si>
    <t xml:space="preserve">selected: sampling rate | criterion: not stated | data: evaluation data</t>
  </si>
  <si>
    <t xml:space="preserve">We only show the best results from SMOTE combined with under-sampling and the plain under-sampling curve in the graphs.</t>
  </si>
  <si>
    <t xml:space="preserve">p. 335, Sec. 5.2</t>
  </si>
  <si>
    <t xml:space="preserve">accuracy_misleading, threshold_free, standard_in_literature, cost</t>
  </si>
  <si>
    <t xml:space="preserve">Area Under the ROC Curve (AUC) is a useful metric for classifier performance as it is independent of the decision criterion selected and prior probabilities.</t>
  </si>
  <si>
    <t xml:space="preserve">p. 322, Sec. 1; p. 323, Sec. 2</t>
  </si>
  <si>
    <t xml:space="preserve">toy_2d_visualization, other | Fig. 3 plots decision regions on a 2-attribute, 10% subset of Mammography for replication vs synthetic over-sampling; Fig. 4 compares C4.5 tree sizes</t>
  </si>
  <si>
    <t xml:space="preserve">pp. 327-330, Figs. 3-4, Sec. 4.1-4.2</t>
  </si>
  <si>
    <t xml:space="preserve">SMOTEBoost-2003</t>
  </si>
  <si>
    <t xml:space="preserve">SMOTEBoost</t>
  </si>
  <si>
    <t xml:space="preserve">Data sets used in our experiments contained different degrees of imbalance and different sizes, thus providing a diverse test bed.</t>
  </si>
  <si>
    <t xml:space="preserve">p. 117, Sec. 5 (Conclusions)</t>
  </si>
  <si>
    <t xml:space="preserve">all public=None; source per dataset=True; links=True; modified data released=False</t>
  </si>
  <si>
    <t xml:space="preserve">p. 112, Sec. 4 and Table 2; refs [1], [20]-[24] p. 118-119</t>
  </si>
  <si>
    <t xml:space="preserve">selected: sampling rate | criterion: F1 | data: evaluation data</t>
  </si>
  <si>
    <t xml:space="preserve">Tables 3 to 6 include the precision, recall, and F-value for the various methods at different amounts of SMOTE (best values are given in bold).</t>
  </si>
  <si>
    <t xml:space="preserve">p. 115, Sec. 4; Tables 3-6</t>
  </si>
  <si>
    <t xml:space="preserve">accuracy_misleading, minority_focus, standard_in_literature</t>
  </si>
  <si>
    <t xml:space="preserve">for domains with imbalanced and/or skewed distributions, classification accuracy is not sufficient as a standard performance measure.</t>
  </si>
  <si>
    <t xml:space="preserve">p. 108, Sec. 1</t>
  </si>
  <si>
    <t xml:space="preserve">SMOTE-ENN-Tomek-2004</t>
  </si>
  <si>
    <t xml:space="preserve">Batista et al.</t>
  </si>
  <si>
    <t xml:space="preserve">we have selected thirteen data sets from UCI [3] which have different degrees of imbalance.</t>
  </si>
  <si>
    <t xml:space="preserve">p. 24, Sec. 5</t>
  </si>
  <si>
    <t xml:space="preserve">all public=True; source per dataset=True; links=True; modified data released=False</t>
  </si>
  <si>
    <t xml:space="preserve">p. 24, Sec. 5; p. 25, Table 3; p. 29, Ref. [3] (UCI URL)</t>
  </si>
  <si>
    <t xml:space="preserve">selected: none (fixed settings) | criterion: not applicable | data: not applicable</t>
  </si>
  <si>
    <t xml:space="preserve">We decided to add/remove examples until a balanced distribution was reached.</t>
  </si>
  <si>
    <t xml:space="preserve">p. 25, Sec. 5</t>
  </si>
  <si>
    <t xml:space="preserve">accuracy_misleading, threshold_free, cost</t>
  </si>
  <si>
    <t xml:space="preserve">Error rate and accuracy are particularly suspicious performance measures when studying the effect of class distribution on learning since they are strongly biased to favor the majority class.</t>
  </si>
  <si>
    <t xml:space="preserve">pp. 21-22, Sec. 3</t>
  </si>
  <si>
    <t xml:space="preserve">p. 26, Sec. 5 (Hsu's MCB test, 95%); p. 27, Tables 6-7</t>
  </si>
  <si>
    <t xml:space="preserve">other | Tables 8-9 and Figs. 6-7 compare number of induced rules and conditions per rule for original vs Random over-sampling, Smote, Smote+Tomek, Smote+ENN (unpruned C4.5).</t>
  </si>
  <si>
    <t xml:space="preserve">p. 26, Sec. 5; p. 28, Tables 8-9, Figs. 6-7</t>
  </si>
  <si>
    <t xml:space="preserve">Borderline-SMOTE-2005</t>
  </si>
  <si>
    <t xml:space="preserve">Borderline-SMOTE</t>
  </si>
  <si>
    <t xml:space="preserve">p. 883, Sec. 4, Table 2; p. 887, Ref. [24]</t>
  </si>
  <si>
    <t xml:space="preserve">the value of m in our methods is set in a way that, the number of the minority examples in DANGER is about half of the minority class.</t>
  </si>
  <si>
    <t xml:space="preserve">p. 884, Sec. 4</t>
  </si>
  <si>
    <t xml:space="preserve">Since the nature of imbalance problem is to improve the prediction performance of the minority class, we only present the results of the minority class.</t>
  </si>
  <si>
    <t xml:space="preserve">p. 884, Sec. 4; p. 879-880, Sec. 2.1</t>
  </si>
  <si>
    <t xml:space="preserve">toy_2d_visualization | Fig. 1 shows the simulated 2-D Circle data: original points, detected borderline minority examples, and the borderline synthetic examples generated</t>
  </si>
  <si>
    <t xml:space="preserve">p. 883, Sec. 3, Fig. 1</t>
  </si>
  <si>
    <t xml:space="preserve">Cluster-SMOTE-2006</t>
  </si>
  <si>
    <t xml:space="preserve">Cluster-SMOTE</t>
  </si>
  <si>
    <t xml:space="preserve">application_domain, varied_characteristics, other</t>
  </si>
  <si>
    <t xml:space="preserve">We chose to construct our own “real-world” intrusion dataset by tapping the Notre Dame traffic to avoid the various limitations of the DARPA traffic [8].</t>
  </si>
  <si>
    <t xml:space="preserve">p. 1, Sec. I; p. 2, Sec. II</t>
  </si>
  <si>
    <t xml:space="preserve">p. 2, Sec. II and II-A/II-B, Table I</t>
  </si>
  <si>
    <t xml:space="preserve">simplicity, other</t>
  </si>
  <si>
    <t xml:space="preserve">While this application is used heavily in many, text-driven data-mining experiments, its noise tolerance makes it very useful in many other studies, such as our own.</t>
  </si>
  <si>
    <t xml:space="preserve">p. 3, Sec. III-A</t>
  </si>
  <si>
    <t xml:space="preserve">selected: sampling rate | criterion: other: visual ROC-curve dominance / ROC convex hull | data: evaluation data</t>
  </si>
  <si>
    <t xml:space="preserve">Another deviation is that the best ROC curve for replication was at 100% level, indicating that more replication led to severe overfitting.</t>
  </si>
  <si>
    <t xml:space="preserve">p. 4, Fig. 3 caption ('optimal SMOTE'); p. 5, Sec. V-A (Fig. 4 'best results') and Sec. V-B</t>
  </si>
  <si>
    <t xml:space="preserve">cost, other</t>
  </si>
  <si>
    <t xml:space="preserve">Receiver Operating Characteristic (ROC) Curves provide an effective basis for comparison between classifiers of imbalanced datasets by tracing the increase in the rate of false alarms</t>
  </si>
  <si>
    <t xml:space="preserve">p. 4, Sec. IV-A; p. 3, Sec. III</t>
  </si>
  <si>
    <t xml:space="preserve">Global-CS-2006</t>
  </si>
  <si>
    <t xml:space="preserve">Global-CS</t>
  </si>
  <si>
    <t xml:space="preserve">all public=True; source per dataset=True; links=True; modified data released=None</t>
  </si>
  <si>
    <t xml:space="preserve">p. 570, Experiments, Table 2 and text ('14 UCI data sets ... and 6 synthetic data sets'); p. 572, References (Blake, Keogh &amp; Merz 1998, repository URL)</t>
  </si>
  <si>
    <t xml:space="preserve">matches_mechanism</t>
  </si>
  <si>
    <t xml:space="preserve">Since C4.5 decision tree can deal with weighted examples, it is used as the cost-blind learner (denoted by BLIND) in the experiments.</t>
  </si>
  <si>
    <t xml:space="preserve">p. 569, Experiments</t>
  </si>
  <si>
    <t xml:space="preserve">pp. 569-571, Experiments (weights computed from the cost matrix; no tuning described)</t>
  </si>
  <si>
    <t xml:space="preserve">multiclass_suitability</t>
  </si>
  <si>
    <t xml:space="preserve">Unfortunately, they can hardly be applied to multi-class problems. Therefore, here the misclassification costs are compared.</t>
  </si>
  <si>
    <t xml:space="preserve">p. 571, Experiments (cost comparison); p. 571, Experiments (MAUC 'a variant of AUC designed for multi-class class-imbalance learning')</t>
  </si>
  <si>
    <t xml:space="preserve">p. 571, Experiments, Table 5 (pairwise two-tailed t-tests, 0.05 level; no methodological reference)</t>
  </si>
  <si>
    <t xml:space="preserve">theoretical_analysis | Analysis section derives the optimal rescaling ratio and shows traditional rescaling equals it only when c=2; consistency condition stated via rank of the coefficient matrix (Eqs. 3-10)</t>
  </si>
  <si>
    <t xml:space="preserve">pp. 568-569, Analysis and The RESCALEnew Approach (Eqs. 1-10, Table 1)</t>
  </si>
  <si>
    <t xml:space="preserve">COG-OS-2007</t>
  </si>
  <si>
    <t xml:space="preserve">COG-OS</t>
  </si>
  <si>
    <t xml:space="preserve">public_benchmark, application_domain, comparability, imbalance_level</t>
  </si>
  <si>
    <t xml:space="preserve">For our experiments, we used a number of benchmark data sets that were obtained from different application domains.</t>
  </si>
  <si>
    <t xml:space="preserve">p. 817, Sec. 4.1 (Experimental Data Sets); p. 820, Sec. 4.4 (KDD Cup 99 for network intrusion; same source data as [17]); p. 821, Sec. 4.5 (balanced sets with CV &lt; 0.5)</t>
  </si>
  <si>
    <t xml:space="preserve">p. 818, Table 2 (Source column); p. 820, Table 8; p. 823, Refs. [3]-[5], [30] (URLs)</t>
  </si>
  <si>
    <t xml:space="preserve">simplicity, matches_mechanism, other</t>
  </si>
  <si>
    <t xml:space="preserve">linear classifiers have various merits such as simplicity and understandability, higher executive efficiency, less parameters, less generalization errors</t>
  </si>
  <si>
    <t xml:space="preserve">p. 815, Sec. 2.1; p. 818, Sec. 4.2</t>
  </si>
  <si>
    <t xml:space="preserve">selected: none (fixed settings), method parameters | criterion: Accuracy | data: evaluation data</t>
  </si>
  <si>
    <t xml:space="preserve">we first select the highest accuracy among four values achieved in different “#clusters” levels, then subtract it by the accuracy obtained by the pure classifier.</t>
  </si>
  <si>
    <t xml:space="preserve">p. 818, Sec. 4.2 (K=4, replication to balance); p. 822, Sec. 4.5, Fig. 6 (maximal accuracy gain)</t>
  </si>
  <si>
    <t xml:space="preserve">toy_2d_visualization, complexity_analysis | Figs. 2-3 plot 2-D synthetic data with linear-SVM hyperplanes for pure SVM, COG, OS and COG-OS; Sec. 2.2 gives an informal linear-time cost argument for the local clustering step.</t>
  </si>
  <si>
    <t xml:space="preserve">p. 816, Secs. 2.2-3, Figs. 2-3</t>
  </si>
  <si>
    <t xml:space="preserve">ADASYN-2008</t>
  </si>
  <si>
    <t xml:space="preserve">ADASYN</t>
  </si>
  <si>
    <t xml:space="preserve">follows_prior_work</t>
  </si>
  <si>
    <t xml:space="preserve">we made modifications on several of the original data sets according to various literary results from similar experiments [17] [29]</t>
  </si>
  <si>
    <t xml:space="preserve">p. 1324, Sec. III-A; p. 1325 (Abalone 'as suggested in [17]')</t>
  </si>
  <si>
    <t xml:space="preserve">all public=True; source per dataset=False; links=True; modified data released=False</t>
  </si>
  <si>
    <t xml:space="preserve">p. 1324, Sec. III-A, Table I; p. 1328, ref. [28] (UCI URL)</t>
  </si>
  <si>
    <t xml:space="preserve">Other parameters include N = 200 for SMOTE according to [15], β = 1 and dth = 0.75 for ADASYN.</t>
  </si>
  <si>
    <t xml:space="preserve">p. 1325, Sec. III-C</t>
  </si>
  <si>
    <t xml:space="preserve">accuracy_misleading</t>
  </si>
  <si>
    <t xml:space="preserve">We use ROC based evaluation metrics because under the imbalanced learning condition, traditional overall classification accuracy may not be able to provide a comprehensive assessment of the observed learning algorithm</t>
  </si>
  <si>
    <t xml:space="preserve">p. 1325, Sec. III-B</t>
  </si>
  <si>
    <t xml:space="preserve">LS-2008</t>
  </si>
  <si>
    <t xml:space="preserve">LS</t>
  </si>
  <si>
    <t xml:space="preserve">Several datasets were acquired from various real-world scenarios originally considered in [6].</t>
  </si>
  <si>
    <t xml:space="preserve">p. 7, Sec. 5.3</t>
  </si>
  <si>
    <t xml:space="preserve">all public=None; source per dataset=True; links=False; modified data released=False</t>
  </si>
  <si>
    <t xml:space="preserve">pp. 7-8, Sec. 5.3, Table 2</t>
  </si>
  <si>
    <t xml:space="preserve">popular, simplicity</t>
  </si>
  <si>
    <t xml:space="preserve">we restrict our experiments with Undersample/SMOTE and LS with C4.5, which is also the most commonly used classifier with sampling for imbalanced datasets in the literature.</t>
  </si>
  <si>
    <t xml:space="preserve">p. 7, Sec. 5.2</t>
  </si>
  <si>
    <t xml:space="preserve">selected: method parameters, sampling rate | criterion: AUC | data: inner validation (training data only)</t>
  </si>
  <si>
    <t xml:space="preserve">this 5-fold cv is applied to each of the training sets of 5x2, making it an independent validation framework.</t>
  </si>
  <si>
    <t xml:space="preserve">p. 5, Sec. 4; p. 7, Sec. 5.2</t>
  </si>
  <si>
    <t xml:space="preserve">accuracy_misleading, standard_in_literature</t>
  </si>
  <si>
    <t xml:space="preserve">Traditional objective metrics, such as accuracy, often fail to describe performance properly under these circumstances as a trivial classifier may produce high accuracy</t>
  </si>
  <si>
    <t xml:space="preserve">p. 1, Sec. 1</t>
  </si>
  <si>
    <t xml:space="preserve">Dietterich 1998; Alpaydin 1999; Demsar 2006</t>
  </si>
  <si>
    <t xml:space="preserve">pp. 6-7, Sec. 5.1; p. 8, Table 3</t>
  </si>
  <si>
    <t xml:space="preserve">toy_2d_visualization | Fig. 4 plots Pima on two attributes showing Hellinger partitions, removed majority points and injected SMOTE points for local vs global sampling</t>
  </si>
  <si>
    <t xml:space="preserve">p. 6, Fig. 4</t>
  </si>
  <si>
    <t xml:space="preserve">EasyEnsemble-BalanceCascade-2009</t>
  </si>
  <si>
    <t xml:space="preserve">EasyEnsemble</t>
  </si>
  <si>
    <t xml:space="preserve">all public=True; source per dataset=False; links=False; modified data released=False</t>
  </si>
  <si>
    <t xml:space="preserve">p. 542, Sec. IV-B and Table II caption; ref. [3]</t>
  </si>
  <si>
    <t xml:space="preserve">CART is used to train weak classifiers. Number of subsets T = 4; number of rounds in each AdaBoost ensemble si = 10.</t>
  </si>
  <si>
    <t xml:space="preserve">p. 543, Sec. IV-B (items 10-11)</t>
  </si>
  <si>
    <t xml:space="preserve">accuracy_misleading, threshold_free</t>
  </si>
  <si>
    <t xml:space="preserve">It is now well known that error rate is not an appropriate evaluation criterion when there are class imbalance or unequal costs.</t>
  </si>
  <si>
    <t xml:space="preserve">p. 542, Sec. IV-A</t>
  </si>
  <si>
    <t xml:space="preserve">p. 544, Sec. IV-D; Tables VI, IX, XII (pairwise t-test, significance level 0.05)</t>
  </si>
  <si>
    <t xml:space="preserve">complexity_analysis | Sec. IV-C analyses training cost of each method from the number of training examples it uses (e.g., Under 2|P|, Over 2|N|); Sec. IV-D derives T = 20 for a face-detection example from log2 of the class ratio. No big-O notation; runtimes in Table III</t>
  </si>
  <si>
    <t xml:space="preserve">pp. 543-544, Sec. IV-C; p. 548, Sec. IV-D</t>
  </si>
  <si>
    <t xml:space="preserve">SBC-2009</t>
  </si>
  <si>
    <t xml:space="preserve">SBC</t>
  </si>
  <si>
    <t xml:space="preserve">difficulty_factors</t>
  </si>
  <si>
    <t xml:space="preserve">In order to make the synthetic datasets more like real datasets, the noisy data are necessary.</t>
  </si>
  <si>
    <t xml:space="preserve">p. 5721, Sec. 4.1</t>
  </si>
  <si>
    <t xml:space="preserve">pp. 5725-5726, Sec. 4.4</t>
  </si>
  <si>
    <t xml:space="preserve">The dataset DSi means that the dataset potentially can be separated into i clusters, and our methods also cluster the dataset DSi into i clusters.</t>
  </si>
  <si>
    <t xml:space="preserve">p. 5723, Sec. 4.3</t>
  </si>
  <si>
    <t xml:space="preserve">minority_focus, other</t>
  </si>
  <si>
    <t xml:space="preserve">We cannot use one of the two criteria to evaluate the performance of a classifier. Hence, the precision rate and recall rate are combined to form another criterion F-measure</t>
  </si>
  <si>
    <t xml:space="preserve">pp. 5721-5722, Sec. 4.2</t>
  </si>
  <si>
    <t xml:space="preserve">none | Only minority/majority precision, recall and F-measure plus execution time are reported. Figs. 1-3 illustrate the synthetic data generator (clusters, disordered and exceptional samples), not resampled data.</t>
  </si>
  <si>
    <t xml:space="preserve">pp. 5721-5726, Figs. 1-12, Table 4</t>
  </si>
  <si>
    <t xml:space="preserve">Safe-Level-SMOTE-2009</t>
  </si>
  <si>
    <t xml:space="preserve">Safe-Level-SMOTE</t>
  </si>
  <si>
    <t xml:space="preserve">p. 480, Sec. 4 and Table 3; ref. [1] (UCI URL)</t>
  </si>
  <si>
    <t xml:space="preserve">The value of β in F-value is set to 1 and the value of k in all over-sampling techniques are set to 5.</t>
  </si>
  <si>
    <t xml:space="preserve">p. 480, Sec. 4</t>
  </si>
  <si>
    <t xml:space="preserve">accuracy_misleading, minority_focus, threshold_free, standard_in_literature</t>
  </si>
  <si>
    <t xml:space="preserve">Note that precision and recall are effective for this problem because they evaluate the classification rates by concentrating in a minority class.</t>
  </si>
  <si>
    <t xml:space="preserve">p. 476, Sec. 1</t>
  </si>
  <si>
    <t xml:space="preserve">Global-CS-2010</t>
  </si>
  <si>
    <t xml:space="preserve">p. 238, Sec. 4.2; p. 239, Table 2; p. 256, References (Blake, Keogh &amp; Merz 1998 with UCI URL)</t>
  </si>
  <si>
    <t xml:space="preserve">matches_mechanism, follows_prior_work | follows Zhou &amp; Liu 2006b</t>
  </si>
  <si>
    <t xml:space="preserve">Because C4.5 decision tree can deal with weighted examples, we use it as the cost-blind learner (denoted by BLIND-C45).</t>
  </si>
  <si>
    <t xml:space="preserve">p. 237, Sec. 4.1 (NN threshold-moving and hard/soft ensembles taken from Zhou and Liu 2006b, pp. 237-238)</t>
  </si>
  <si>
    <t xml:space="preserve">Here we use the J48 implementation in WEKA with default settings (Witten and Frank 2005).</t>
  </si>
  <si>
    <t xml:space="preserve">p. 237, Sec. 4.1; p. 238 (BP net 10 hidden units, 200 epochs; PETs 20 iterations)</t>
  </si>
  <si>
    <t xml:space="preserve">The MAUC measure (Hand and Till 2001) is used to evaluate the performance, which is a variant of AUC designed for multi-class class-imbalance learning.</t>
  </si>
  <si>
    <t xml:space="preserve">p. 239, Sec. 4.2 (misclassification cost: ROC and cost curves 'could not be applied to multi-class problems directly'); p. 254, Sec. 4.4 (MAUC)</t>
  </si>
  <si>
    <t xml:space="preserve">p. 240, Sec. 4.3.1; p. 242, Table 5; p. 254, Sec. 4.4 (pairwise t-tests at 95%, no methodological reference)</t>
  </si>
  <si>
    <t xml:space="preserve">theoretical_analysis | Sec. 2 shows traditional rescaling ratio equals the optimal ratio only for two classes; Sec. 3 derives a rank condition on the cost coefficient matrix (consistent vs inconsistent costs)</t>
  </si>
  <si>
    <t xml:space="preserve">pp. 233-236, Secs. 2-3</t>
  </si>
  <si>
    <t xml:space="preserve">RAMOBoost-2010</t>
  </si>
  <si>
    <t xml:space="preserve">RAMOBoost</t>
  </si>
  <si>
    <t xml:space="preserve">varied_characteristics, imbalance_level</t>
  </si>
  <si>
    <t xml:space="preserve">These datasets vary in size and class distributions to ensure a thorough assessment of performance.</t>
  </si>
  <si>
    <t xml:space="preserve">p. 1630, Sec. IV-A (imbalance_level: p. 1638, Sec. IV-C.3, ten most skewed datasets for Simulation 3)</t>
  </si>
  <si>
    <t xml:space="preserve">p. 1630, Sec. IV-A, Table I; p. 1631, Table II; refs [45], [46] p. 1642</t>
  </si>
  <si>
    <t xml:space="preserve">selected: method parameters | criterion: not stated | data: not stated</t>
  </si>
  <si>
    <t xml:space="preserve">The scaling coefficient α is set to 0.3, which was chosen using cross-validation techniques for optimizing RAMOBoost’s performance.</t>
  </si>
  <si>
    <t xml:space="preserve">p. 1635, Sec. IV-C</t>
  </si>
  <si>
    <t xml:space="preserve">accuracy_misleading, minority_focus</t>
  </si>
  <si>
    <t xml:space="preserve">the conventional assessment method of using a single criterion, such as overall accuracy (OA), may not be able to provide a comprehensive assessment of the learning algorithm</t>
  </si>
  <si>
    <t xml:space="preserve">p. 1630-1631, Sec. IV-B</t>
  </si>
  <si>
    <t xml:space="preserve">Demsar 2006; Corder &amp; Foreman 2009</t>
  </si>
  <si>
    <t xml:space="preserve">p. 1634, Sec. IV-B (Wilcoxon signed-ranks); p. 1635, Sec. IV-C</t>
  </si>
  <si>
    <t xml:space="preserve">toy_2d_visualization, complexity_analysis | Fig. 4 plots original vs post-SMOTE/ADASYN/RAMOBoost data on a 2-D synthetic set (2000 maj/100 min), with CART confusion matrices; Sec. III-D derives O(n^2 T log n) training complexity.</t>
  </si>
  <si>
    <t xml:space="preserve">p. 1628-1629, Sec. III-C.1, Fig. 4; p. 1630, Sec. III-D</t>
  </si>
  <si>
    <t xml:space="preserve">RUSBoost-2010</t>
  </si>
  <si>
    <t xml:space="preserve">RUSBoost</t>
  </si>
  <si>
    <t xml:space="preserve">These data sets represent a wide variety of data set sizes, imbalance levels, and application domains.</t>
  </si>
  <si>
    <t xml:space="preserve">p. 189, Sec. IV-A</t>
  </si>
  <si>
    <t xml:space="preserve">p. 189, Sec. IV-A, Table I; p. 197, Refs. [24], [25]</t>
  </si>
  <si>
    <t xml:space="preserve">selected: method parameters, sampling rate | criterion: not stated | data: not stated</t>
  </si>
  <si>
    <t xml:space="preserve">Preliminary experiments with AdaBoost using the same data sets as in this paper showed no significant improvement between 10 and 50 iterations.</t>
  </si>
  <si>
    <t xml:space="preserve">p. 187, Sec. II-A-1; p. 190, Sec. IV-E</t>
  </si>
  <si>
    <t xml:space="preserve">accuracy_misleading, threshold_free, standard_in_literature</t>
  </si>
  <si>
    <t xml:space="preserve">This paper uses four different performance metrics to evaluate the models constructed for our experiments, all of which are more suitable than the overall accuracy when dealing with class imbalance.</t>
  </si>
  <si>
    <t xml:space="preserve">pp. 189-190, Sec. IV-C</t>
  </si>
  <si>
    <t xml:space="preserve">Berenson et al. 1983</t>
  </si>
  <si>
    <t xml:space="preserve">p. 190, Sec. IV-D (one-factor ANOVA + Tukey HSD); p. 195, Sec. V-D, Table VII (two-sample t-tests)</t>
  </si>
  <si>
    <t xml:space="preserve">SPIDER2-2010</t>
  </si>
  <si>
    <t xml:space="preserve">SPIDER2</t>
  </si>
  <si>
    <t xml:space="preserve">difficulty_factors, follows_prior_work</t>
  </si>
  <si>
    <t xml:space="preserve">we decided to prepare artificial data sets in order to control these factors</t>
  </si>
  <si>
    <t xml:space="preserve">p. 161, Sec. 3.1 (artificial); p. 164, Sec. 4 (real: 'imbalanced data sets that we had used in our previous study [9]')</t>
  </si>
  <si>
    <t xml:space="preserve">confirmed</t>
  </si>
  <si>
    <t xml:space="preserve">all public=False; source per dataset=True; links=False; modified data released=None</t>
  </si>
  <si>
    <t xml:space="preserve">p. 164-165, Sec. 4</t>
  </si>
  <si>
    <t xml:space="preserve">follows_prior_work, sensitive_to_imbalance | follows Stefanowski &amp; Wilk 2008</t>
  </si>
  <si>
    <t xml:space="preserve">MODLEM and C4.5 algorithms, as they had been used in earlier studies [9] and had shown to be sensitive to the class imbalance.</t>
  </si>
  <si>
    <t xml:space="preserve">p. 162, Sec. 3.2</t>
  </si>
  <si>
    <t xml:space="preserve">(relabel = yes, ampl = strong – see Section 2 for details) as such combination performed best in our earlier studies.</t>
  </si>
  <si>
    <t xml:space="preserve">other, other</t>
  </si>
  <si>
    <t xml:space="preserve">We chose G-mean over AUC because it was more intuitive and suited to deterministic rule- and tree-based classifiers.</t>
  </si>
  <si>
    <t xml:space="preserve">p. 165, Sec. 4</t>
  </si>
  <si>
    <t xml:space="preserve">DSRBF-2011</t>
  </si>
  <si>
    <t xml:space="preserve">DSRBF</t>
  </si>
  <si>
    <t xml:space="preserve">imbalance_level, varied_characteristics, application_domain</t>
  </si>
  <si>
    <t xml:space="preserve">Since our method is aimed to improve the accuracy for the worst classified class when dealing with imbalanced datasets, the datasets selected have a considerable imbalance rate.</t>
  </si>
  <si>
    <t xml:space="preserve">p. 1827, Sec. 4.1; p. 1829, Sec. 4.2</t>
  </si>
  <si>
    <t xml:space="preserve">all public=True; source per dataset=True; links=True; modified data released=True</t>
  </si>
  <si>
    <t xml:space="preserve">p. 1827, Sec. 4.1 and footnote 1; p. 1828, Table 3; p. 1829, Sec. 4.2</t>
  </si>
  <si>
    <t xml:space="preserve">selected: classifier hyperparameters, best variant | criterion: not stated | data: not stated</t>
  </si>
  <si>
    <t xml:space="preserve">The minimum and maximum number of hidden nodes have been obtained as the best result of a preliminary experimental design ANOVA I, considering a small, medium and high value</t>
  </si>
  <si>
    <t xml:space="preserve">p. 1827, Sec. 4.1; p. 1826, Sec. 3.3-3.4</t>
  </si>
  <si>
    <t xml:space="preserve">accuracy_misleading, multiclass_suitability, minority_focus, standard_in_literature, other</t>
  </si>
  <si>
    <t xml:space="preserve">In this paper, we will focus on multi-classification problems, where the concepts of true/false positive/negative are not valid. For this reason, the minimum sensitivity (MS) and the correct classification rate</t>
  </si>
  <si>
    <t xml:space="preserve">p. 1822, Sec. 2.2; p. 1823, Sec. 2.2</t>
  </si>
  <si>
    <t xml:space="preserve">Friedman 1940; Dunn 1961; Hochberg &amp; Tamhane 1987</t>
  </si>
  <si>
    <t xml:space="preserve">pp. 1829-1830, Sec. 4.3, Table 5, Fig. 5; pp. 1831-1832, Sec. 4.4, Table 7, Fig. 6</t>
  </si>
  <si>
    <t xml:space="preserve">INOS-2013</t>
  </si>
  <si>
    <t xml:space="preserve">INOS</t>
  </si>
  <si>
    <t xml:space="preserve">imbalance_level</t>
  </si>
  <si>
    <t xml:space="preserve">We have chosen these data sets since they contain large number of samples to facilitate the simulation of scenarios of large class imbalance.</t>
  </si>
  <si>
    <t xml:space="preserve">p. 2816, Sec. 4.2</t>
  </si>
  <si>
    <t xml:space="preserve">p. 2815, Sec. 4.2, Table 1; p. 2816, Sec. 4.2 ('we have shared our 48 apportioned data sets online (http://sites.google.com/site/sstarcao/)'); p. 2821, ref. [17] UCR URL</t>
  </si>
  <si>
    <t xml:space="preserve">other, other, other</t>
  </si>
  <si>
    <t xml:space="preserve">We chose SVM for learning our classifier for the following reasons: 1) SVM is known to provide excellent generalization to unseen data as it minimizes the structural risk</t>
  </si>
  <si>
    <t xml:space="preserve">p. 2814, Sec. 3.5</t>
  </si>
  <si>
    <t xml:space="preserve">selected: method parameters, classifier hyperparameters | criterion: F1, G-mean | data: evaluation data</t>
  </si>
  <si>
    <t xml:space="preserve">From Fig. 5, on average, the F-Value and the G-Mean peaked at an integration percentage of</t>
  </si>
  <si>
    <t xml:space="preserve">pp. 2816-2817, Sec. 4.3, Fig. 5 (r fixed at 0.7); p. 2814, Sec. 3.5 and p. 2818, Sec. 4.4 (SVM (C, g) grid search)</t>
  </si>
  <si>
    <t xml:space="preserve">standard_in_literature</t>
  </si>
  <si>
    <t xml:space="preserve">In particular, F-Value and G-Mean are well-reported performance metrics for imbalanced learning.</t>
  </si>
  <si>
    <t xml:space="preserve">p. 2816, Sec. 4.2, Eq. 19</t>
  </si>
  <si>
    <t xml:space="preserve">toy_2d_visualization, complexity_analysis | Fig. 4 plots INOS and five other oversamplers on a synthetic 2-D example (50 positives oversampled to 500); Sec. 4.6 states complexity O((|N|-|P|)m^2) vs O((|N|-|P|)n^2) for SPO</t>
  </si>
  <si>
    <t xml:space="preserve">pp. 2814-2815, Sec. 4.1, Fig. 4; p. 2820, Sec. 4.6</t>
  </si>
  <si>
    <t xml:space="preserve">OVO-SMOTE-2013</t>
  </si>
  <si>
    <t xml:space="preserve">Fernandez et al.</t>
  </si>
  <si>
    <t xml:space="preserve">imbalance_level, multiclass_availability, public_benchmark</t>
  </si>
  <si>
    <t xml:space="preserve">thus justifying its selection for the experimental framework according to the IR data characteristic.</t>
  </si>
  <si>
    <t xml:space="preserve">p. 101, Sec. 4.1; p. 98, Sec. 1 (wide benchmark of 24 multiple-class data-sets from KEEL)</t>
  </si>
  <si>
    <t xml:space="preserve">all public=True; source per dataset=False; links=True; modified data released=True</t>
  </si>
  <si>
    <t xml:space="preserve">p. 98, Sec. 1, footnote 1 (keel.es/dataset.php); p. 101, Sec. 4.1 (partitions on KEEL); p. 103, Sec. 4.5 (web page with partitions)</t>
  </si>
  <si>
    <t xml:space="preserve">diverse_paradigms, popular</t>
  </si>
  <si>
    <t xml:space="preserve">we have chosen three different algorithms from different paradigms of Data Mining</t>
  </si>
  <si>
    <t xml:space="preserve">p. 98, Sec. 1; p. 102, Sec. 4.2 (kNN 'the most common approach')</t>
  </si>
  <si>
    <t xml:space="preserve">selected: none (fixed settings), sampling rate, best variant | criterion: not stated, AvAcc | data: evaluation data</t>
  </si>
  <si>
    <t xml:space="preserve">In our preliminary experiments we have tried several percentages for the distribution between the classes and we have obtained the best results with a strictly balanced distribution.</t>
  </si>
  <si>
    <t xml:space="preserve">p. 103, Sec. 4.3; p. 104, Sec. 5.1, Table 4</t>
  </si>
  <si>
    <t xml:space="preserve">accuracy_misleading, multiclass_suitability</t>
  </si>
  <si>
    <t xml:space="preserve">standard metrics such as the accuracy rate should not be considered, since they do not distinguish between the number of correct classifications of the different classes</t>
  </si>
  <si>
    <t xml:space="preserve">p. 100, Sec. 2.3</t>
  </si>
  <si>
    <t xml:space="preserve">Demsar 2006; Garcia &amp; Herrera 2008; Garcia et al. 2009; Sheskin 2006; Zar 1999</t>
  </si>
  <si>
    <t xml:space="preserve">p. 103, Sec. 4.4</t>
  </si>
  <si>
    <t xml:space="preserve">MWMOTE-2014</t>
  </si>
  <si>
    <t xml:space="preserve">MWMOTE</t>
  </si>
  <si>
    <t xml:space="preserve">varied_characteristics, follows_prior_work</t>
  </si>
  <si>
    <t xml:space="preserve">These sets are chosen in such a way that they have a different number of samples, features, classes, and imbalanced ratios.</t>
  </si>
  <si>
    <t xml:space="preserve">p. 417, Sec. 5.4 (real data); p. 415, Sec. 5.3 (artificial domain 'motivated from [12]')</t>
  </si>
  <si>
    <t xml:space="preserve">p. 413, Sec. 5; p. 417, Sec. 5.4, Table 5; p. 423, ref. [41] (UCI URL)</t>
  </si>
  <si>
    <t xml:space="preserve">diverse_paradigms, other</t>
  </si>
  <si>
    <t xml:space="preserve">To know whether the performance of the oversampling methods remains good or bad independent of the chosen classifier, we use the k-NN</t>
  </si>
  <si>
    <t xml:space="preserve">p. 413, Sec. 5.2</t>
  </si>
  <si>
    <t xml:space="preserve">All these values are chosen after some preliminary runs and they are not meant to be optimal.</t>
  </si>
  <si>
    <t xml:space="preserve">p. 413, Sec. 5.2; pp. 419-421, Sec. 5.6, Table 12</t>
  </si>
  <si>
    <t xml:space="preserve">accuracy_misleading, standard_in_literature, minority_focus, threshold_free</t>
  </si>
  <si>
    <t xml:space="preserve">its dependence on the distribution of positive class and negative class samples in the data set, thus not suitable for imbalanced learning problems</t>
  </si>
  <si>
    <t xml:space="preserve">p. 413, Sec. 5.1</t>
  </si>
  <si>
    <t xml:space="preserve">p. 413, Sec. 5.1; p. 418, Sec. 5.4.1; Tables 7, 8, 11</t>
  </si>
  <si>
    <t xml:space="preserve">implied</t>
  </si>
  <si>
    <t xml:space="preserve">RACOG-2015</t>
  </si>
  <si>
    <t xml:space="preserve">RACOG</t>
  </si>
  <si>
    <t xml:space="preserve">application_domain, imbalance_level</t>
  </si>
  <si>
    <t xml:space="preserve">We evaluate the applicability of our algorithm for other data sets by evaluating them on nine additional real-world data sets from the UCI repository that exhibit the class imbalance problem</t>
  </si>
  <si>
    <t xml:space="preserve">p. 225, Sec. 3</t>
  </si>
  <si>
    <t xml:space="preserve">p. 223, footnote 1; p. 225, Sec. 3, Table 2</t>
  </si>
  <si>
    <t xml:space="preserve">We choose four of the best-known classifiers in machine learning to evaluate the performance of the proposed method and other sampling approaches</t>
  </si>
  <si>
    <t xml:space="preserve">p. 228, Sec. 5</t>
  </si>
  <si>
    <t xml:space="preserve">selected: method parameters, classifier hyperparameters | criterion: Sensitivity/Recall, not stated | data: not stated</t>
  </si>
  <si>
    <t xml:space="preserve">wRACOG keeps on adding new samples until there is no further improvement in sensitivity (true positive rate) of the wrapper classifier</t>
  </si>
  <si>
    <t xml:space="preserve">p. 227, Sec. 4.4; p. 228, Sec. 5</t>
  </si>
  <si>
    <t xml:space="preserve">minority_focus, cost, accuracy_misleading</t>
  </si>
  <si>
    <t xml:space="preserve">The proposed approaches place emphasis on boosting the sensitivity of the classifiers while maintaining a strong prediction performance for both of the classes, which is measured by G-mean.</t>
  </si>
  <si>
    <t xml:space="preserve">p. 229, Sec. 6; p. 225, Sec. 3; p. 222, Sec. 1</t>
  </si>
  <si>
    <t xml:space="preserve">p. 230, Sec. 6</t>
  </si>
  <si>
    <t xml:space="preserve">complexity_analysis, other | Big-O time given for Chow-Liu, RACOG and wRACOG; Fig. 8 compares log10 number of samples added by SMOTE, SMOTEBoost, RACOG, wRACOG</t>
  </si>
  <si>
    <t xml:space="preserve">pp. 226-227, Secs. 4.1, 4.3, 4.4; p. 231, Fig. 8</t>
  </si>
  <si>
    <t xml:space="preserve">RBBoost-2015</t>
  </si>
  <si>
    <t xml:space="preserve">Random Balance</t>
  </si>
  <si>
    <t xml:space="preserve">contains the binary imbalanced data sets used in [37]. Table 2 shows the characteristics of the 20 data sets in this collection.</t>
  </si>
  <si>
    <t xml:space="preserve">p. 101, Sec. 6</t>
  </si>
  <si>
    <t xml:space="preserve">p. 101, Sec. 6, footnotes 5-7; pp. 102-103, Tables 2-3</t>
  </si>
  <si>
    <t xml:space="preserve">popular, simplicity, matches_mechanism, follows_prior_work | follows Cieslak et al. 2012 [37] (J48 unpruned with Laplace smoothing, i.e. C4.4, as recommended for imbalanced data)</t>
  </si>
  <si>
    <t xml:space="preserve">Decision trees are usually used as base classifiers, since they are simple and fast to compute, and they are unstable</t>
  </si>
  <si>
    <t xml:space="preserve">p. 101, Sec. 6; p. 106, Sec. 6.2</t>
  </si>
  <si>
    <t xml:space="preserve">selected: sampling rate, method parameters, none (fixed settings) | criterion: AUC, other: sum of accuracy and G-mean (RbB threshold) | data: inner validation (training data only)</t>
  </si>
  <si>
    <t xml:space="preserve">Once found, the parameters that maximize the AUC for a single decision tree are used for constructing the ensemble.</t>
  </si>
  <si>
    <t xml:space="preserve">pp. 101-102, Sec. 6, footnote 9</t>
  </si>
  <si>
    <t xml:space="preserve">standard_in_literature, accuracy_misleading</t>
  </si>
  <si>
    <t xml:space="preserve">Commonly used measures of performance for imbalanced data are the Area Under the ROC (Receiver Operation Characteristic) curve [26], the F-Measure [27] and the Geometric Mean [28].</t>
  </si>
  <si>
    <t xml:space="preserve">p. 97, Sec. 2; p. 103, Sec. 6 (accuracy 'not usually considered an adequate performance measure')</t>
  </si>
  <si>
    <t xml:space="preserve">Demsar 2006; Iman &amp; Davenport 1980; Hochberg 1988; Dunn 1961; Garcia et al. 2009; Dietterich 1998</t>
  </si>
  <si>
    <t xml:space="preserve">p. 101, Sec. 6 (5x2 CV [43]); p. 102, Sec. 6 (average ranks, Friedman/Iman-Davenport, Hochberg); p. 101, Sec. 5 (paired t-test in simulation)</t>
  </si>
  <si>
    <t xml:space="preserve">theoretical_analysis, diversity_measure, toy_2d_visualization | Sec. 4.1.1 derives the probability that a minority/majority instance is included in a Random Balance sample (Fig. 2); Sec. 5 kappa-error diagrams of ensemble members (Fig. 5) and ROC-space scatter of base classifiers (Fig. 3); Fig. 4 shows decision boundaries of RB vs Bagging on a 2-D two-Gaussian toy set (boundaries, not synthetic points)</t>
  </si>
  <si>
    <t xml:space="preserve">p. 99, Sec. 4.1.1-4.1.2, Figs. 2-3; pp. 100-102, Sec. 5, Figs. 4-5</t>
  </si>
  <si>
    <t xml:space="preserve">SCUT-2015</t>
  </si>
  <si>
    <t xml:space="preserve">SCUT</t>
  </si>
  <si>
    <t xml:space="preserve">all public=True; source per dataset=True; links=False; modified data released=None</t>
  </si>
  <si>
    <t xml:space="preserve">pdf p. 4, Sec. 3.1, Table 1</t>
  </si>
  <si>
    <t xml:space="preserve">selected: classifier hyperparameters, method parameters | criterion: not stated, other: EM log-likelihood under 10-fold cross-validation (number of clusters) | data: not stated</t>
  </si>
  <si>
    <t xml:space="preserve">For IBk, the number of nearest neighbours (k) was set to five (5), by inspection. Default values for the other parameters were used.</t>
  </si>
  <si>
    <t xml:space="preserve">pdf p. 4, Sec. 3 and Sec. 3.1</t>
  </si>
  <si>
    <t xml:space="preserve">For imbalanced datasets, the G-mean measure has been found to be highly representative of an algorithm’s performance (Sobhani et. al., 2014).</t>
  </si>
  <si>
    <t xml:space="preserve">pdf p. 5, Sec. 3.1</t>
  </si>
  <si>
    <t xml:space="preserve">pdf p. 7, Sec. 3.2, Table 17</t>
  </si>
  <si>
    <t xml:space="preserve">none | Only G-mean, F-measure and AUC are reported. The Lymphography walk-through gives the cluster sizes EM found, to explain the procedure, but does not assess the resampled data.</t>
  </si>
  <si>
    <t xml:space="preserve">pdf p. 4, Sec. 2</t>
  </si>
  <si>
    <t xml:space="preserve">SMOTE-IPF-2015</t>
  </si>
  <si>
    <t xml:space="preserve">SMOTE-IPF</t>
  </si>
  <si>
    <t xml:space="preserve">follows_prior_work, difficulty_factors</t>
  </si>
  <si>
    <t xml:space="preserve">The choice of the real-world datasets was based on the work on imbalanced classification with noisy and borderline examples presented in [40].</t>
  </si>
  <si>
    <t xml:space="preserve">p. 191, Sec. 4.2 (real data; also 'these data sets are chosen to study their impact' of noisy examples); pp. 190-191, Sec. 4.1 (synthetic data from [40])</t>
  </si>
  <si>
    <t xml:space="preserve">all public=False; source per dataset=True; links=True; modified data released=True</t>
  </si>
  <si>
    <t xml:space="preserve">p. 191, Sec. 4.2 and footnote 2; p. 186, Sec. 1 (web-page with datasets); p. 191, Sec. 4.1 (synthetic sets on web-page)</t>
  </si>
  <si>
    <t xml:space="preserve">popular, sensitive_to_imbalance, diverse_paradigms</t>
  </si>
  <si>
    <t xml:space="preserve">C4.5 [41], which has been used in many other works in imbalanced classification, in particular concerning SMOTE [47,48]. Furthermore, it is known to be more sensitive to different factors</t>
  </si>
  <si>
    <t xml:space="preserve">p. 192, Sec. 4.4 (C4.5); p. 186, Sec. 1 (k-NN, SVM, RIPPER, PART 'to show the behavior of the preprocessing techniques with different classifiers')</t>
  </si>
  <si>
    <t xml:space="preserve">The parameter setup for the implementation of IPF used in this work has been determined experimentally in order to better fit it to the characteristics of imbalanced datasets</t>
  </si>
  <si>
    <t xml:space="preserve">p. 190, Sec. 3.3; p. 200, Sec. 6.3</t>
  </si>
  <si>
    <t xml:space="preserve">This paper considers the usage of the Area Under the ROC Curve (AUC) measure [6], which provides a single-number summary for the performance of learning algorithms and it is recommended</t>
  </si>
  <si>
    <t xml:space="preserve">p. 187, Sec. 2.1</t>
  </si>
  <si>
    <t xml:space="preserve">Demsar 2006; Garcia et al. 2010; Hochberg 1988; Hodges &amp; Lehmann 1962</t>
  </si>
  <si>
    <t xml:space="preserve">pp. 192-193, Sec. 4.4</t>
  </si>
  <si>
    <t xml:space="preserve">noise_count | Sec. 5.4: percentages of all, SMOTE-synthetic, original positive and original negative examples removed by ENN vs IPF after SMOTE, on synthetic, real and noisy real data</t>
  </si>
  <si>
    <t xml:space="preserve">pp. 197-199, Sec. 5.4, Tables 12-13</t>
  </si>
  <si>
    <t xml:space="preserve">SplitBal-2015</t>
  </si>
  <si>
    <t xml:space="preserve">SplitBal</t>
  </si>
  <si>
    <t xml:space="preserve">p. 1626, Sec. 4.1, Table 3 (URL http://sci2s.ugr.es/keel/imbalanced.php)</t>
  </si>
  <si>
    <t xml:space="preserve">selected: best variant, method parameters | criterion: AUC | data: evaluation data</t>
  </si>
  <si>
    <t xml:space="preserve">we rank the 10 different ensemble rules with ClusterBal for each classification algorithm according to the average AUC values of the 46 imbalanced data.</t>
  </si>
  <si>
    <t xml:space="preserve">p. 1628, Sec. 4.4(1), Tables 4-7; pp. 1627-1628, Sec. 4.3 Investigations 1-3 and 6; pp. 1633-1635, Figs. 3-4 (Const value)</t>
  </si>
  <si>
    <t xml:space="preserve">standard_in_literature, threshold_free</t>
  </si>
  <si>
    <t xml:space="preserve">AUC is able to overcome this issue as it is insensitive to changes in sample distribution [12,83] and so it is objective.</t>
  </si>
  <si>
    <t xml:space="preserve">p. 1627, Sec. 4.2</t>
  </si>
  <si>
    <t xml:space="preserve">Demsar 2006; Wilcoxon 1945; Friedman 1937; Nemenyi 1963</t>
  </si>
  <si>
    <t xml:space="preserve">p. 1628, Sec. 4.4(3) (Wilcoxon signed rank); p. 1630, Sec. 4.4(4) and Fig. 2 (Friedman + Nemenyi 'as suggested by Demsar'); p. 1632, Sec. 4.4(5) (Wilcoxon vs fuzzy methods)</t>
  </si>
  <si>
    <t xml:space="preserve">A-SUWO-2016</t>
  </si>
  <si>
    <t xml:space="preserve">A-SUWO</t>
  </si>
  <si>
    <t xml:space="preserve">p. 33, Sec. 3.4; p. 35, Table 3.1</t>
  </si>
  <si>
    <t xml:space="preserve">selected: method parameters, classifier hyperparameters | criterion: G-mean | data: inner validation (training data only)</t>
  </si>
  <si>
    <t xml:space="preserve">The parameters of the four classifiers and the nine sampling methods are optimized over a small set of values using stratified cross-validation and considering only the training set.</t>
  </si>
  <si>
    <t xml:space="preserve">p. 36, Sec. 3.4</t>
  </si>
  <si>
    <t xml:space="preserve">threshold_free, minority_focus, accuracy_misleading</t>
  </si>
  <si>
    <t xml:space="preserve">AUC is the area under ROC graph and is not sensitive to the distribution of the two classes which makes it suitable as a performance measure for the imbalanced problem.</t>
  </si>
  <si>
    <t xml:space="preserve">p. 35, Sec. 3.4 (G-mean rationale p. 35; accuracy argument p. 2, Sec. 1.1 of the dissertation)</t>
  </si>
  <si>
    <t xml:space="preserve">p. 36-37, Sec. 3.4; Tables 3.7-3.8 (Friedman + Holm, A-SUWO as control)</t>
  </si>
  <si>
    <t xml:space="preserve">CGMOS-2016</t>
  </si>
  <si>
    <t xml:space="preserve">CGMOS</t>
  </si>
  <si>
    <t xml:space="preserve">30 real-world datasets were randomly chosen from the UCI machine learning repository [20] for empirical testing of CGMOS.</t>
  </si>
  <si>
    <t xml:space="preserve">p. 1626, Sec. 4.1</t>
  </si>
  <si>
    <t xml:space="preserve">all public=True; source per dataset=True; links=False; modified data released=False</t>
  </si>
  <si>
    <t xml:space="preserve">p. 1626, Sec. 4.1; p. 1627, Table 1</t>
  </si>
  <si>
    <t xml:space="preserve">fair_comparison, popular</t>
  </si>
  <si>
    <t xml:space="preserve">We match the compared classifiers to classifiers used in other SMOTE extension evaluations. Six well-known classifiers are tested in our experiments</t>
  </si>
  <si>
    <t xml:space="preserve">p. 1626, Sec. 4.3</t>
  </si>
  <si>
    <t xml:space="preserve">selected: classifier hyperparameters | criterion: not stated | data: not stated</t>
  </si>
  <si>
    <t xml:space="preserve">All hyper-parameters of the classifiers tested were determined by cross validation to ensure the best performance of each method.</t>
  </si>
  <si>
    <t xml:space="preserve">threshold_free, standard_in_literature</t>
  </si>
  <si>
    <t xml:space="preserve">A useful property that makes ROC curves a good metric in imbalanced learning lies in the facts that ROC curves are insensitive to changes in class distribution.</t>
  </si>
  <si>
    <t xml:space="preserve">pp. 1626-1627, Sec. 4.4</t>
  </si>
  <si>
    <t xml:space="preserve">Demsar 2006; Corder &amp; Foreman 2009; Devore 2011; McKillup 2006</t>
  </si>
  <si>
    <t xml:space="preserve">p. 1629, Sec. 4.6; p. 1627, Table 4</t>
  </si>
  <si>
    <t xml:space="preserve">toy_2d_visualization, theoretical_analysis | Fig. 1: 2-D Gaussian toy set (2000 majority, 400 minority) showing per-sample certainty, CGMOS weights, synthesized positions and relative certainty change; Sec. 3 proves expected average gain of CGMOS &gt;= SMOTE (Lemmas 1-3, Theorem 1).</t>
  </si>
  <si>
    <t xml:space="preserve">p. 1625, Sec. 2.3, Fig. 1; pp. 1625-1626, Sec. 3</t>
  </si>
  <si>
    <t xml:space="preserve">MDO-2016</t>
  </si>
  <si>
    <t xml:space="preserve">MDO</t>
  </si>
  <si>
    <t xml:space="preserve">all public=True; source per dataset=False; links=True; modified data released=None</t>
  </si>
  <si>
    <t xml:space="preserve">p. 245, Sec. 4.1; p. 246, Table 1; p. 250, Ref. [21]</t>
  </si>
  <si>
    <t xml:space="preserve">RIPPER [14], Repeated Incremental Pruning to Produce Error Reduction, is a well-known rule-based algorithm.</t>
  </si>
  <si>
    <t xml:space="preserve">p. 245, Sec. 4.1</t>
  </si>
  <si>
    <t xml:space="preserve">In MDO K1 and K2 parameters are set to 5 and 10, respectively. These values are selected after some preliminary runs.</t>
  </si>
  <si>
    <t xml:space="preserve">p. 245, Sec. 4</t>
  </si>
  <si>
    <t xml:space="preserve">accuracy_misleading, standard_in_literature, multiclass_suitability</t>
  </si>
  <si>
    <t xml:space="preserve">However, they can be deceiving in certain situations and are highly sensitive to changes in data [31].</t>
  </si>
  <si>
    <t xml:space="preserve">p. 245, Sec. 4.2</t>
  </si>
  <si>
    <t xml:space="preserve">Demsar 2006; Friedman 1937; Iman &amp; Davenport 1980; Dunn 1961</t>
  </si>
  <si>
    <t xml:space="preserve">p. 245-246, Sec. 4.3</t>
  </si>
  <si>
    <t xml:space="preserve">toy_2d_visualization, complexity_analysis, theoretical_analysis | Figs. 3-4: synthetic MDO samples on a 2-D five-class artificial set; Fig. 5: scatter plots of MDO, SMOTE, Borderline-SMOTE, ADASYN samples on that set with qualitative overlap discussion; Sec. 3.2: O(n^3) eigendecomposition cost; Sec. 3.3: analytical argument that samples on equal-Mahalanobis ellipsoids preserve class covariance (no proofs or bounds)</t>
  </si>
  <si>
    <t xml:space="preserve">p. 243-244, Sec. 3.1-3.3, Figs. 3-4; p. 248-249, Sec. 4.4, Fig. 5</t>
  </si>
  <si>
    <t xml:space="preserve">SMOM-2017</t>
  </si>
  <si>
    <t xml:space="preserve">SMOM</t>
  </si>
  <si>
    <t xml:space="preserve">varied_characteristics, comparability</t>
  </si>
  <si>
    <t xml:space="preserve">Note that these experimental data sets vary in size, class distribution, feature number and IR to ensure a reliable assessment of performance.</t>
  </si>
  <si>
    <t xml:space="preserve">p. 334, Sec. 4.1 (Data Sets), Table 1</t>
  </si>
  <si>
    <t xml:space="preserve">p. 334, Sec. 4.1, Table 1 ('Description of classes' column)</t>
  </si>
  <si>
    <t xml:space="preserve">Four frequently-used base classifiers are selected for our experiments</t>
  </si>
  <si>
    <t xml:space="preserve">p. 335, Sec. 4.1 (Base classifier)</t>
  </si>
  <si>
    <t xml:space="preserve">selected: method parameters | criterion: G-mean | data: evaluation data</t>
  </si>
  <si>
    <t xml:space="preserve">These values are selected after some preliminary runs. It does not mean they are optimal.</t>
  </si>
  <si>
    <t xml:space="preserve">Supp. Sec. 3, p. 3; Supp. Tables S1-S2, pp. 4-5; main text p. 335, Sec. 4.1</t>
  </si>
  <si>
    <t xml:space="preserve">In multiclass imbalance problems, MG [27] and MAUC [28] are the most commonly used measures.</t>
  </si>
  <si>
    <t xml:space="preserve">p. 334, Sec. 4.1 (Assessment metrics); p. 335, Sec. 4.1</t>
  </si>
  <si>
    <t xml:space="preserve">Corder &amp; Foreman 2014</t>
  </si>
  <si>
    <t xml:space="preserve">p. 336, Sec. 4.2, Table 3; p. 338, Tables 5-6; Supp. Table S12</t>
  </si>
  <si>
    <t xml:space="preserve">complexity_analysis, theoretical_analysis | Supplement Sec. 7 derives time complexity O((k1+1) nc n d) and counts distance computations vs ADASYN (Table S21); Lemma 1 proves reflexivity and symmetry of the G_k^c-neighborhood used by the NBDOS clustering step of the sampler</t>
  </si>
  <si>
    <t xml:space="preserve">Supp. Sec. 7, pp. 23-25, Table S21; p. 331, Sec. 3.1.2, Lemma 1</t>
  </si>
  <si>
    <t xml:space="preserve">AMDO-2018</t>
  </si>
  <si>
    <t xml:space="preserve">AMDO</t>
  </si>
  <si>
    <t xml:space="preserve">imbalance_level, application_domain, difficulty_factors, other, other</t>
  </si>
  <si>
    <t xml:space="preserve">as stated in Section 3.2, only data sets with IR&gt;1.5 are selected</t>
  </si>
  <si>
    <t xml:space="preserve">p. 6, Sec. 4 and Sec. 4.1; p. 12, Sec. 4.6 (Pre2D/PreND 'two typical cases where overlapping occurs between classes')</t>
  </si>
  <si>
    <t xml:space="preserve">all public=False; source per dataset=False; links=True; modified data released=False</t>
  </si>
  <si>
    <t xml:space="preserve">p. 6, Sec. 4.1 and footnotes 2-3 (UCI and KEEL URLs); p. 6, Sec. 4.1.1 (Pre2D/PreND provided by China Meteorological Administration); p. 7, Table 1</t>
  </si>
  <si>
    <t xml:space="preserve">To perform a fair comparison, we use a uniform and widely adopted base classifier in the learning stage.</t>
  </si>
  <si>
    <t xml:space="preserve">p. 7, Sec. 4.2</t>
  </si>
  <si>
    <t xml:space="preserve">We set the parameter values for different methods according to the recommendations of the corresponding authors.</t>
  </si>
  <si>
    <t xml:space="preserve">minority_focus, standard_in_literature</t>
  </si>
  <si>
    <t xml:space="preserve">Considering the characteristics of imbalanced problems, we consider both the overall performance and the accuracy of the minority class in this study.</t>
  </si>
  <si>
    <t xml:space="preserve">p. 7, Sec. 4.3 (Pmin, Pavg); p. 8, Sec. 4.3 ('AUC is also widely used ... thus, we also consider MAUC'); p. 12, Sec. 4.5.3 (minimum sensitivity)</t>
  </si>
  <si>
    <t xml:space="preserve">Demsar 2006</t>
  </si>
  <si>
    <t xml:space="preserve">pp. 8-9, Sec. 4.4, Table 4 (Wilcoxon signed-rank); p. 9, Sec. 4.5 and Tables 7, 10, 12 (Friedman + Bonferroni-Dunn, 'As recommended in [52]')</t>
  </si>
  <si>
    <t xml:space="preserve">theoretical_analysis, complexity_analysis | Theorem 1: MDO's synthetic sample has an imaginary component with probability 1-1/(d-1)!; derivation of threshold theta guaranteeing IR&lt;=1.5; Sec. 3.4 big-O complexity of AMDO</t>
  </si>
  <si>
    <t xml:space="preserve">pp. 5-6, Sec. 3.3, Theorem 1; p. 5, Sec. 3.2, Eqs. 5-7; p. 6, Sec. 3.4, Eqs. 8-10</t>
  </si>
  <si>
    <t xml:space="preserve">KMeansSMOTE-2018</t>
  </si>
  <si>
    <t xml:space="preserve">k-means SMOTE</t>
  </si>
  <si>
    <t xml:space="preserve">imbalance_level, other</t>
  </si>
  <si>
    <t xml:space="preserve">In order to generate additional datasets with even higher imbalance ratios, each of the aforementioned datasets was randomly undersampled to generate up to six additional datasets.</t>
  </si>
  <si>
    <t xml:space="preserve">p. 13, Sec. 4.4</t>
  </si>
  <si>
    <t xml:space="preserve">p. 13, Sec. 4.4 (GitHub release of modified and simulated data sets); p. 14, Table 2 (split by source)</t>
  </si>
  <si>
    <t xml:space="preserve">diverse_paradigms, simplicity</t>
  </si>
  <si>
    <t xml:space="preserve">classification algorithms with few or no hyperparameters are less likely to bias results due to their specific configuration.</t>
  </si>
  <si>
    <t xml:space="preserve">p. 12, Sec. 4.3</t>
  </si>
  <si>
    <t xml:space="preserve">selected: method parameters, classifier hyperparameters | criterion: G-mean, F1, AUPRC | data: evaluation data</t>
  </si>
  <si>
    <t xml:space="preserve">All metrics are used to score all resulting classifications, and the best value obtained for each metric is saved.</t>
  </si>
  <si>
    <t xml:space="preserve">p. 14, Sec. 4.5; p. 15, Sec. 4.5 (worked example)</t>
  </si>
  <si>
    <t xml:space="preserve">accuracy_misleading, other</t>
  </si>
  <si>
    <t xml:space="preserve">However, to determine a general ranking among oversamplers, no such focus should be placed. Therefore, the following unweighted metrics are chosen for the evaluation.</t>
  </si>
  <si>
    <t xml:space="preserve">p. 11, Sec. 4.1 (accuracy biased to majority); p. 12, Sec. 4.1</t>
  </si>
  <si>
    <t xml:space="preserve">Demsar 2006; Friedman 1937; Holm 1979</t>
  </si>
  <si>
    <t xml:space="preserve">p. 15, Sec. 5; p. 17, Table 3</t>
  </si>
  <si>
    <t xml:space="preserve">toy_2d_visualization, theoretical_analysis | Figs. 10-14 plot SMOTE vs k-means SMOTE samples on five 2-D toy sets (A, B, C, circles, moons). Sec. 3.2 and Table 1 show that SMOTE and random oversampling are limit cases of the method.</t>
  </si>
  <si>
    <t xml:space="preserve">pp. 8-10, Sec. 3.2, Table 1; p. 18, Sec. 5; pp. 24-26, Figs. 10-14</t>
  </si>
  <si>
    <t xml:space="preserve">OBU-2018</t>
  </si>
  <si>
    <t xml:space="preserve">OBU</t>
  </si>
  <si>
    <t xml:space="preserve">comparability, varied_characteristics</t>
  </si>
  <si>
    <t xml:space="preserve">In all experiments, 36 frequently used datasets in class-imbalance classification were selected.</t>
  </si>
  <si>
    <t xml:space="preserve">p. 5, Sec. 3.2</t>
  </si>
  <si>
    <t xml:space="preserve">all public=True; source per dataset=False; links=False; modified data released=None</t>
  </si>
  <si>
    <t xml:space="preserve">p. 5, Sec. 3.2; p. 6, Table 1</t>
  </si>
  <si>
    <t xml:space="preserve">Random Forest (RF) was chosen as the baseline as it proved to be amongst the top performing traditional machine learning algorithms [4,5].</t>
  </si>
  <si>
    <t xml:space="preserve">p. 4, Sec. 3.1</t>
  </si>
  <si>
    <t xml:space="preserve">selected: method parameters, best variant | criterion: Sensitivity/Recall, not stated | data: not stated</t>
  </si>
  <si>
    <t xml:space="preserve">the model obtained from the correctly undersampled case is expected to yield higher positive class accuracy. The selection is performed at this stage and the other model is discarded.</t>
  </si>
  <si>
    <t xml:space="preserve">p. 4, Sec. 2.3; p. 3, Sec. 2.2; p. 5, Sec. 3.1</t>
  </si>
  <si>
    <t xml:space="preserve">minority_focus, accuracy_misleading</t>
  </si>
  <si>
    <t xml:space="preserve">It is preferable to the traditional accuracy, which neglects the fact that the cardinality of the positive class is relatively very small in imbalanced domains.</t>
  </si>
  <si>
    <t xml:space="preserve">p. 5, Sec. 3.3</t>
  </si>
  <si>
    <t xml:space="preserve">pp. 6-7, Sec. 4.1</t>
  </si>
  <si>
    <t xml:space="preserve">toy_2d_visualization, other | Fig. 1 plots a 2-D imbalanced, overlapped example with the FCM cluster boundary, the correctly undersampled data and the incorrectly undersampled data; Table 1 lists nMajLeft per dataset.</t>
  </si>
  <si>
    <t xml:space="preserve">p. 4, Fig. 1; p. 6, Table 1</t>
  </si>
  <si>
    <t xml:space="preserve">ROS-Buda-2018</t>
  </si>
  <si>
    <t xml:space="preserve">Buda et al.</t>
  </si>
  <si>
    <t xml:space="preserve">public_benchmark, varied_characteristics</t>
  </si>
  <si>
    <t xml:space="preserve">Datasets together with their corresponding models are of increasing complexity. This allows us to draw some conclusions on simple task and then verify how they scale to more complex ones.</t>
  </si>
  <si>
    <t xml:space="preserve">p. 252, Sec. 3.3; p. 253, Sec. 3.3.3</t>
  </si>
  <si>
    <t xml:space="preserve">p. 252, Sec. 3.3, Table 1</t>
  </si>
  <si>
    <t xml:space="preserve">other, simplicity</t>
  </si>
  <si>
    <t xml:space="preserve">For each dataset we choose different model with a set of hyperparameters used for its training that is known to perform well based on the literature.</t>
  </si>
  <si>
    <t xml:space="preserve">selected: classifier hyperparameters | criterion: not stated | data: evaluation data</t>
  </si>
  <si>
    <t xml:space="preserve">For a particular method and imbalanced dataset, we pick the model with the best score on the test set over all eight runs.</t>
  </si>
  <si>
    <t xml:space="preserve">p. 252, Sec. 3.3.2</t>
  </si>
  <si>
    <t xml:space="preserve">accuracy_misleading, threshold_free, standard_in_literature, multiclass_suitability</t>
  </si>
  <si>
    <t xml:space="preserve">when the test set is imbalanced, accuracy will favor classes that are overrepresented in some cases leading to highly misleading assessment.</t>
  </si>
  <si>
    <t xml:space="preserve">p. 249, Abstract; pp. 253-254, Sec. 3.4; p. 256, Sec. 4.4</t>
  </si>
  <si>
    <t xml:space="preserve">CTGAN-2019</t>
  </si>
  <si>
    <t xml:space="preserve">CTGAN</t>
  </si>
  <si>
    <t xml:space="preserve">public_benchmark, follows_prior_work, varied_characteristics</t>
  </si>
  <si>
    <t xml:space="preserve">We picked 6 commonly used machine learning datasets from UCI machine learning repository [9], with features and label columns in a tabular form</t>
  </si>
  <si>
    <t xml:space="preserve">p. 7, Sec. 5.1</t>
  </si>
  <si>
    <t xml:space="preserve">p. 7, Sec. 5.1, footnote 3; p. 2, footnote 2; Supp. p. 1, Sec. 1 and Table 1</t>
  </si>
  <si>
    <t xml:space="preserve">For each dataset, we select classifiers or regressors that achieve reasonable performance on each data.</t>
  </si>
  <si>
    <t xml:space="preserve">p. 7, Sec. 5.2; Supp. p. 1-2, Table 2</t>
  </si>
  <si>
    <t xml:space="preserve">selected: none (fixed settings), classifier hyperparameters | criterion: not stated | data: not stated</t>
  </si>
  <si>
    <t xml:space="preserve">We trained each model with a batch size of 500. Each model is trained for 300 epochs.</t>
  </si>
  <si>
    <t xml:space="preserve">p. 8, Sec. 5.3; p. 6, Sec. 4.4 (Adam lr 2e-4, pac 10); p. 7, Sec. 5.2 and Supp. Table 2 (evaluation models)</t>
  </si>
  <si>
    <t xml:space="preserve">Given that evaluation of generative models is not a straightforward process, where different metrics yield substantially diverse results [24], our benchmarking suite evaluates multiple metrics on multiple datasets.</t>
  </si>
  <si>
    <t xml:space="preserve">distribution_distance, privacy_or_fidelity | Likelihood fitness on simulated data: L_syn (likelihood of synthetic rows under the true oracle) and L_test (likelihood of test rows under an oracle re-fitted on synthetic data), reported for Gaussian-mixture and Bayesian-network oracles; framed as whether synthetic columns follow the training joint distribution</t>
  </si>
  <si>
    <t xml:space="preserve">p. 2, Sec. 3; p. 7, Sec. 5.2; p. 8, Table 2 and Fig. 3; Supp. Table 3</t>
  </si>
  <si>
    <t xml:space="preserve">G-SMOTE-2019</t>
  </si>
  <si>
    <t xml:space="preserve">G-SMOTE</t>
  </si>
  <si>
    <t xml:space="preserve">In order to test the performance of the algorithm on more extreme cases of imbalance, undersampled modifications of the aforementioned datasets</t>
  </si>
  <si>
    <t xml:space="preserve">p. 2, Sec. 1; p. 17, Sec. 5.1</t>
  </si>
  <si>
    <t xml:space="preserve">p. 17, Sec. 5.1, Table 1</t>
  </si>
  <si>
    <t xml:space="preserve">selected: method parameters, classifier hyperparameters | criterion: AUC, F1, G-mean | data: evaluation data</t>
  </si>
  <si>
    <t xml:space="preserve">Using the above hyper-parameters, the highest cross validation score for each combination of datasets, classifiers, oversamplers and evaluation metrics was reported.</t>
  </si>
  <si>
    <t xml:space="preserve">pp. 19-20, Sec. 5.4.1</t>
  </si>
  <si>
    <t xml:space="preserve">accuracy is mainly determined by the majority class contribution. Based on this, the selected evaluation metrics of the experimental procedure are following:</t>
  </si>
  <si>
    <t xml:space="preserve">pp. 18-19, Sec. 5.2</t>
  </si>
  <si>
    <t xml:space="preserve">Guyon 2003</t>
  </si>
  <si>
    <t xml:space="preserve">p. 20, Sec. 5.4.1; p. 22, Sec. 5.4.4, Tables 4-5</t>
  </si>
  <si>
    <t xml:space="preserve">theoretical_analysis | Sec. 4.3 states analytical properties of the generator: points are uniform in the unit hyper-sphere; truncation and deformation reshape the p.d.f.; majority/combined selection ensures a generated point is no farther from the centre than its nearest majority neighbour. Informal argument, no proofs or bounds. Figs. 1-15 are schematic 2-D drawings, not data plots. Computational cost is discussed qualitatively (no big-O).</t>
  </si>
  <si>
    <t xml:space="preserve">pp. 9-15, Sec. 4.3</t>
  </si>
  <si>
    <t xml:space="preserve">GAMO-2019</t>
  </si>
  <si>
    <t xml:space="preserve">GAMO</t>
  </si>
  <si>
    <t xml:space="preserve">varied_characteristics, multiclass_availability</t>
  </si>
  <si>
    <t xml:space="preserve">The experiment on CelebA and LSUN are undertaken to evaluate the performance of GAMO on images of higher resolution</t>
  </si>
  <si>
    <t xml:space="preserve">p. 1701, Sec. 4.3; p. 1702, Sec. 4.4 (SUN397 'to evaluate the performance of GAMO over a large number of classes')</t>
  </si>
  <si>
    <t xml:space="preserve">p. 1696, footnote 1 (code &amp; data on GitHub); p. 1699, Sec. 4; Supp. p. 8, Sec. 4 (non-image data); Supp. p. 10 (pre-processing code and datasets)</t>
  </si>
  <si>
    <t xml:space="preserve">We refrain from using pre-trained networks for our experiments as the pre-learned weights may not reflect the imbalance between the classes.</t>
  </si>
  <si>
    <t xml:space="preserve">p. 1699, Sec. 4</t>
  </si>
  <si>
    <t xml:space="preserve">selected: method parameters, classifier hyperparameters, best variant | criterion: AvAcc, G-mean, not stated | data: evaluation data</t>
  </si>
  <si>
    <t xml:space="preserve">Since we observe from Table 1 that the LS variants of the classifiers mostly perform better than their CE based counterparts</t>
  </si>
  <si>
    <t xml:space="preserve">pp. 1700-1701, Sec. 4.1, Table 1 (LS vs CE); p. 1699, Sec. 4 and Supp. pp. 2-6, Sec. 2, Tables 3-5 (grid search)</t>
  </si>
  <si>
    <t xml:space="preserve">We evaluate the performance of a classifier in terms of two indices which are not biased toward any particular class [40], namely Average Class Specific Accuracy (ACSA)</t>
  </si>
  <si>
    <t xml:space="preserve">toy_2d_visualization, distribution_distance, theoretical_analysis | Fig. 1 plots generated minority points on a 2-D toy set for cGAN, G-only and GAMO; Theorem 1 (proof in supp.) shows the objective equals a sum of Jensen-Shannon divergences; Table 5 reports FID between real and generated images (GAMO2pix vs cDCGAN); Figs. 4-5 show generated image samples qualitatively</t>
  </si>
  <si>
    <t xml:space="preserve">p. 1695, Fig. 1; p. 1698, Theorem 1 (Supp. pp. 1-2); p. 1700, Fig. 4; p. 1702, Fig. 5 and Table 5</t>
  </si>
  <si>
    <t xml:space="preserve">RBO-2019</t>
  </si>
  <si>
    <t xml:space="preserve">RBO</t>
  </si>
  <si>
    <t xml:space="preserve">varied_characteristics, public_benchmark</t>
  </si>
  <si>
    <t xml:space="preserve">As can be seen, chosen datasets vary in size, number of features and degree of imbalance, which ensures a reliable assessment of the performance.</t>
  </si>
  <si>
    <t xml:space="preserve">p. 24, Sec. 4.1 (Data), Table 1</t>
  </si>
  <si>
    <t xml:space="preserve">p. 24, Sec. 4.1 (Data), Table 1; p. 25, footnote 1 (https://github.com/michalkoziarski/RBO: code, CV fold partitions, full results)</t>
  </si>
  <si>
    <t xml:space="preserve">diverse_paradigms</t>
  </si>
  <si>
    <t xml:space="preserve">To ensure the validity of the obtained results four classification algorithms, representing different methodologies, were used as a base learners</t>
  </si>
  <si>
    <t xml:space="preserve">p. 25, Sec. 4.1 (Classifiers)</t>
  </si>
  <si>
    <t xml:space="preserve">selected: method parameters | criterion: AUC | data: inner validation (training data only)</t>
  </si>
  <si>
    <t xml:space="preserve">Selection was performed based on the AUC achieved on a validation set, divided from the original training data.</t>
  </si>
  <si>
    <t xml:space="preserve">p. 26, Sec. 4.2; p. 25, Sec. 4.2 (preliminary analysis on 10 separate data sets)</t>
  </si>
  <si>
    <t xml:space="preserve">Since the classification accuracy is not a proper performance metric in case of a highly imbalanced data, during the conducted experimental study we instead considered the most widely used measures</t>
  </si>
  <si>
    <t xml:space="preserve">p. 25, Sec. 4.1 (Performance metrics)</t>
  </si>
  <si>
    <t xml:space="preserve">p. 26, Sec. 4.3; p. 27, Tables 2-10 (Friedman average ranks, Shaffer post-hoc at 0.05; no methodological reference)</t>
  </si>
  <si>
    <t xml:space="preserve">toy_2d_visualization | Figs. 3-5 plot synthetic samples from SMOTE, ADASYN, Borderline-SMOTE and RBO (with RBF potential surface) on 2-D toy data, including a label-noise case</t>
  </si>
  <si>
    <t xml:space="preserve">p. 22, Fig. 3; p. 23, Fig. 4; p. 25, Fig. 5</t>
  </si>
  <si>
    <t xml:space="preserve">SOUP-2019</t>
  </si>
  <si>
    <t xml:space="preserve">SOUP</t>
  </si>
  <si>
    <t xml:space="preserve">varied_characteristics, comparability, follows_prior_work, difficulty_factors</t>
  </si>
  <si>
    <t xml:space="preserve">representing a different number of classes, sizes and imbalance ratios, which have been used in the most related experimental studies</t>
  </si>
  <si>
    <t xml:space="preserve">p. 775, Sec. 5.2 (synthetic art1-art4 taken from Lango et al. 2017 and 'different degrees of difficulty', p. 775, Sec. 5.2)</t>
  </si>
  <si>
    <t xml:space="preserve">p. 775, Sec. 5.2; p. 776, Table 2</t>
  </si>
  <si>
    <t xml:space="preserve">To learn component classifiers, we consider three popular algorithms: J4.8 tree, PART rule and k-NN.</t>
  </si>
  <si>
    <t xml:space="preserve">p. 775, Sec. 5.1</t>
  </si>
  <si>
    <t xml:space="preserve">selected: method parameters, best variant | criterion: not stated, G-mean | data: evaluation data</t>
  </si>
  <si>
    <t xml:space="preserve">In further experiments, we will use only one similarity function, namely the heuristic one, as it achieves slightly better results and is adaptive to different datasets.</t>
  </si>
  <si>
    <t xml:space="preserve">p. 777, Sec. 5.4; p. 777-778, Sec. 5.5-5.6</t>
  </si>
  <si>
    <t xml:space="preserve">The predictions of all classifiers are evaluated with three measures adapted to the multiclass context: G-mean, average minority and F-score.</t>
  </si>
  <si>
    <t xml:space="preserve">p. 777, Sec. 5.4 (Friedman); p. 777-778, Sec. 5.5, Fig. 1 (Friedman + Nemenyi); p. 778-779, Sec. 5.6, Tables 7-8, Fig. 2 (paired Wilcoxon, Friedman, Nemenyi)</t>
  </si>
  <si>
    <t xml:space="preserve">other | Tree node counts compared for flare and yeast (SOUP vs baseline vs OVO). Table 4 average safe levels are computed on the original data only to characterise dataset difficulty, not on resampled data.</t>
  </si>
  <si>
    <t xml:space="preserve">p. 779-780, Sec. 5.6; p. 775-777, Sec. 5.3, Table 4</t>
  </si>
  <si>
    <t xml:space="preserve">AB-SMOTE-2020</t>
  </si>
  <si>
    <t xml:space="preserve">AB-SMOTE</t>
  </si>
  <si>
    <t xml:space="preserve">comparability, imbalance_level</t>
  </si>
  <si>
    <t xml:space="preserve">These real life datasets are widely used in machine learning scientific research.</t>
  </si>
  <si>
    <t xml:space="preserve">p. 33, Sec. IV</t>
  </si>
  <si>
    <t xml:space="preserve">p. 33, Sec. IV, Table I; p. 35, Refs. [4], [13]-[19]</t>
  </si>
  <si>
    <t xml:space="preserve">selected: method parameters, best variant | criterion: Sensitivity/Recall, F1 | data: evaluation data</t>
  </si>
  <si>
    <t xml:space="preserve">we marked the approach with the best value of recall and F-measure from the previous results’ tables and constructed Table XII.</t>
  </si>
  <si>
    <t xml:space="preserve">p. 35, Sec. V, Table XII</t>
  </si>
  <si>
    <t xml:space="preserve">evaluating the classifier with classification accuracy alone do not give a good overview about the classifier accuracy in predicting the minority class</t>
  </si>
  <si>
    <t xml:space="preserve">DLexiBoost-2020</t>
  </si>
  <si>
    <t xml:space="preserve">DLexiBoost</t>
  </si>
  <si>
    <t xml:space="preserve">application_domain, multiclass_availability, difficulty_factors, varied_characteristics</t>
  </si>
  <si>
    <t xml:space="preserve">Hyperspectral image classification has been listed, in a recent survey by Krawczyk [52], as one of the key practical application areas where multi-class imbalance naturally arises.</t>
  </si>
  <si>
    <t xml:space="preserve">p. 894, Sec. 4.4 (hyperspectral); p. 894, Sec. 4.5 (ImageNet); p. 892, Sec. 4.2 (artificial)</t>
  </si>
  <si>
    <t xml:space="preserve">p. 893, Sec. 4.3; p. 894, Sec. 4.4-4.5; p. 896, Refs. [49], [55]; Supp. Tables 1-6</t>
  </si>
  <si>
    <t xml:space="preserve">selected: classifier hyperparameters, method parameters | criterion: G-mean, AUC, MAUC | data: evaluation data</t>
  </si>
  <si>
    <t xml:space="preserve">The results are presented in the following sections using the average index values corresponding to the best parameter settings for each contending algorithm.</t>
  </si>
  <si>
    <t xml:space="preserve">p. 892, Sec. 4.1, Table 2</t>
  </si>
  <si>
    <t xml:space="preserve">other, multiclass_suitability</t>
  </si>
  <si>
    <t xml:space="preserve">Since the G-Mean index has a high value only when the performance is good on all classes, it is useful for evaluating the performance for class imbalanced classification.</t>
  </si>
  <si>
    <t xml:space="preserve">p. 892, Sec. 4.1</t>
  </si>
  <si>
    <t xml:space="preserve">Friedman 1937; Wilcoxon 1945; Mann &amp; Whitney 1947; Kruskal &amp; Wallis 1952</t>
  </si>
  <si>
    <t xml:space="preserve">p. 893, Sec. 4.3.1-4.3.2, Table 3; p. 894, Sec. 4.4, Table 4; Supp. Sec. 2.3</t>
  </si>
  <si>
    <t xml:space="preserve">complexity_analysis | Big-O time complexity of LexiBoost/Dual-LexiBoost vs LPAdaBoost, LPBoost, LPUBoost (Sec. 3.5, Table 1); no resampled data to assess because the method is algorithm-level</t>
  </si>
  <si>
    <t xml:space="preserve">p. 891, Sec. 3.5, Table 1</t>
  </si>
  <si>
    <t xml:space="preserve">MBS-2020</t>
  </si>
  <si>
    <t xml:space="preserve">MBS</t>
  </si>
  <si>
    <t xml:space="preserve">p. 1549, Sec. 4.1, Table 2, footnotes 1-3</t>
  </si>
  <si>
    <t xml:space="preserve">We used logistic regression as the classifier, as it is a commonly used classification algorithm.</t>
  </si>
  <si>
    <t xml:space="preserve">p. 1549, Sec. 4.3</t>
  </si>
  <si>
    <t xml:space="preserve">selected: none (fixed settings), best variant | criterion: AUC | data: evaluation data</t>
  </si>
  <si>
    <t xml:space="preserve">The previous experiments indicated that the proposed method with a linear regression model outperformed that with a non-linear regression model</t>
  </si>
  <si>
    <t xml:space="preserve">p. 1550, Sec. 4.3-4.4, Table 3; p. 1551, Sec. 5</t>
  </si>
  <si>
    <t xml:space="preserve">accuracy_misleading, standard_in_literature, other</t>
  </si>
  <si>
    <t xml:space="preserve">However, the limitation of accuracy as the performance measure on an imbalanced dataset was quickly established, and receiver operating characteristic (ROC) curves soon emerged as a popular choice</t>
  </si>
  <si>
    <t xml:space="preserve">p. 1549, Sec. 4.2</t>
  </si>
  <si>
    <t xml:space="preserve">p. 1551, Sec. 4.4, Table 5</t>
  </si>
  <si>
    <t xml:space="preserve">projection_visualization, toy_2d_visualization | PCA 2-D projections of Pima with synthetic points from SMOTE, safe-level-SMOTE, borderline-SMOTE1/2 and MBS, judged visually for points in the majority area (Figs. 8-9); simulated 2-feature Gaussian data showing independent per-feature sampling vs original points (Fig. 11)</t>
  </si>
  <si>
    <t xml:space="preserve">pp. 1552-1553, Sec. 5.2, Figs. 8-9; p. 1554, Sec. 5.5, Fig. 11</t>
  </si>
  <si>
    <t xml:space="preserve">MC-CCR-2020</t>
  </si>
  <si>
    <t xml:space="preserve">MC-CCR</t>
  </si>
  <si>
    <t xml:space="preserve">The selection of the datasets was made based on the previous work by Sáez et al. [23], in which it was demonstrated that the chosen datasets possess various challenging characteristics</t>
  </si>
  <si>
    <t xml:space="preserve">p. 7, Sec. 4.1 (Datasets)</t>
  </si>
  <si>
    <t xml:space="preserve">p. 7, Sec. 4.1 (20 KEEL data sets, ref. [53]); p. 8, Table 1; p. 9, Sec. 4.4 (label-noise injection)</t>
  </si>
  <si>
    <t xml:space="preserve">To ensure the validity of the observed results across different learning methodologies we evaluated the considered oversampling algorithms in combination with four different classification algorithms</t>
  </si>
  <si>
    <t xml:space="preserve">p. 7, Sec. 4.1 (Classification algorithms)</t>
  </si>
  <si>
    <t xml:space="preserve">selected: method parameters, classifier hyperparameters, sampling rate, best variant | criterion: not stated | data: inner validation (training data only)</t>
  </si>
  <si>
    <t xml:space="preserve">Parameter selection was conducted independently for each data partition using 3-fold cross validation on the training data.</t>
  </si>
  <si>
    <t xml:space="preserve">p. 7, Sec. 4.1 (Evaluation procedure); p. 8, Table 2 (grids); pp. 7-8, Sec. 4.2 and p. 9, Table 3 (design variants)</t>
  </si>
  <si>
    <t xml:space="preserve">It is obvious that in the case of imbalanced data, we cannot use Accuracy, which prefers classes with higher prior probabilities.</t>
  </si>
  <si>
    <t xml:space="preserve">p. 3, Sec. 2.3</t>
  </si>
  <si>
    <t xml:space="preserve">Japkowicz &amp; Shah 2011; Garcia et al. 2010</t>
  </si>
  <si>
    <t xml:space="preserve">p. 7, Sec. 4.1 (Statistical analysis: combined 10-fold CV F-test [55]; Friedman with Shaffer post-hoc [56]); p. 11, Fig. 4; p. 13, Fig. 6; p. 14, Tables 8-9</t>
  </si>
  <si>
    <t xml:space="preserve">toy_2d_visualization, complexity_analysis | Fig. 2 illustrates binary CCR on a 2-D example; Fig. 3 compares S-SMOTE, Borderline S-SMOTE, +ENN variants and MC-CCR on a 2-D multi-class toy set with label noise; Sec. 3.3 worst-case complexity O(c(m+log n)n^2)</t>
  </si>
  <si>
    <t xml:space="preserve">p. 6, Fig. 2; p. 7, Fig. 3; pp. 6-7, Sec. 3.3</t>
  </si>
  <si>
    <t xml:space="preserve">MC-RBO-2020</t>
  </si>
  <si>
    <t xml:space="preserve">MC-RBO</t>
  </si>
  <si>
    <t xml:space="preserve">We have selected these benchmarks on the basis of our previous study on the instance-level difficulties in multiclass data sets</t>
  </si>
  <si>
    <t xml:space="preserve">p. 2824, Sec. IV-A (prior study = Saez, Krawczyk &amp; Wozniak 2016, ref. [10])</t>
  </si>
  <si>
    <t xml:space="preserve">p. 2824, Sec. IV-A, Table I</t>
  </si>
  <si>
    <t xml:space="preserve">In order to verify the flexibility of MC-RBO, we have examined its effects on four different base classifiers</t>
  </si>
  <si>
    <t xml:space="preserve">p. 2824, Sec. IV-B2</t>
  </si>
  <si>
    <t xml:space="preserve">selected: method parameters, classifier hyperparameters, best variant | criterion: not stated | data: inner validation (training data only)</t>
  </si>
  <si>
    <t xml:space="preserve">All parameters for each tested algorithm were established for each data set independently using an internal stratified threefold cross validation on the training set.</t>
  </si>
  <si>
    <t xml:space="preserve">p. 2825, Sec. IV-B3; p. 2822, Sec. III-C (variant chosen from preliminary analysis)</t>
  </si>
  <si>
    <t xml:space="preserve">multiclass_suitability, threshold_free</t>
  </si>
  <si>
    <t xml:space="preserve">We evaluate the performance of classifiers on multiclass imbalanced data using four dedicated skew-insensitive metrics</t>
  </si>
  <si>
    <t xml:space="preserve">p. 2825, Sec. IV-B4</t>
  </si>
  <si>
    <t xml:space="preserve">p. 2825, Sec. IV-B5</t>
  </si>
  <si>
    <t xml:space="preserve">toy_2d_visualization, complexity_analysis | Figs. 2 and 4 plot a 2-D toy set before and after STATIC-SMOTE and MC-RBO, with class potentials in Figs. 3 and 4b. Sec. III-E derives worst-case big-O complexity.</t>
  </si>
  <si>
    <t xml:space="preserve">pp. 2821-2823, Figs. 2-4; pp. 2823-2824, Sec. III-E</t>
  </si>
  <si>
    <t xml:space="preserve">NBU-2020</t>
  </si>
  <si>
    <t xml:space="preserve">NBU</t>
  </si>
  <si>
    <t xml:space="preserve">difficulty_factors, imbalance_level, varied_characteristics</t>
  </si>
  <si>
    <t xml:space="preserve">In order to provide conclusive results, we simulated 66 datasets representing a wide range of scenarios including extremely imbalanced and overlapped datasets</t>
  </si>
  <si>
    <t xml:space="preserve">p. 14, Sec. 5; p. 15, Sec. 5.2; p. 30, Sec. 6.3</t>
  </si>
  <si>
    <t xml:space="preserve">pp. 15-17, Sec. 5.2, Table 1, footnotes 2-5</t>
  </si>
  <si>
    <t xml:space="preserve">These classifiers are considered ones of the most widely used learning methods in imbalanced classification [16].</t>
  </si>
  <si>
    <t xml:space="preserve">p. 15, Sec. 5.1</t>
  </si>
  <si>
    <t xml:space="preserve">selected: none (fixed settings), not stated | criterion: not stated | data: inner validation (training data only)</t>
  </si>
  <si>
    <t xml:space="preserve">No parameters tuning or optimisation was performed in our experiments. This allows us to provide a fair comparison and assess our methods.</t>
  </si>
  <si>
    <t xml:space="preserve">p. 17, Sec. 5.2 (last paragraph) and Sec. 5.3; p. 18, Sec. 5.3</t>
  </si>
  <si>
    <t xml:space="preserve">standard_in_literature, minority_focus, threshold_free</t>
  </si>
  <si>
    <t xml:space="preserve">These are common metrics and widely used for imbalanced learning [21, 15, 19, 2, 3].</t>
  </si>
  <si>
    <t xml:space="preserve">pp. 18-19, Sec. 5.4</t>
  </si>
  <si>
    <t xml:space="preserve">p. 23, Sec. 6.2; Tables 7 and 12</t>
  </si>
  <si>
    <t xml:space="preserve">toy_2d_visualization | Fig. 1 plots synthetic 2-D data before and after removing negatives from the overlapping region; Fig. 3 plots a 2-D data set with borderline vs all overlapped negatives removed.</t>
  </si>
  <si>
    <t xml:space="preserve">p. 3, Fig. 1; p. 10, Fig. 3</t>
  </si>
  <si>
    <t xml:space="preserve">SPE-2020</t>
  </si>
  <si>
    <t xml:space="preserve">SPE</t>
  </si>
  <si>
    <t xml:space="preserve">imbalance_level, difficulty_factors, other</t>
  </si>
  <si>
    <t xml:space="preserve">We choose several real-life datasets with highly skewed class distribution to assess the effectiveness of our proposed learning framework on realistic tasks.</t>
  </si>
  <si>
    <t xml:space="preserve">p. 847, Sec. VI-B; p. 847, Sec. VI-A3; p. 849, Sec. VI-C1</t>
  </si>
  <si>
    <t xml:space="preserve">all public=None; source per dataset=False; links=False; modified data released=False</t>
  </si>
  <si>
    <t xml:space="preserve">p. 847, Sec. VI-B; p. 848, Table III</t>
  </si>
  <si>
    <t xml:space="preserve">diverse_paradigms, fair_comparison, follows_prior_work | follows Wang &amp; Yao 2009; Seiffert et al. 2010; Barandela et al. 2003</t>
  </si>
  <si>
    <t xml:space="preserve">Considering most of the previous approaches were proposed in combination with C4.5 [17], [44], [45], for a fair comparison, we also use the C4.5 classifier as the base model</t>
  </si>
  <si>
    <t xml:space="preserve">p. 849, Sec. VI-C-2 (comparison with ensemble methods only)</t>
  </si>
  <si>
    <t xml:space="preserve">selected: none (fixed settings), classifier hyperparameters | criterion: not stated | data: inner validation (training data only)</t>
  </si>
  <si>
    <t xml:space="preserve">we use 60% of the full data as the training set D and 20% as the validation set Ddev (some classifiers like GBDT need validation set for early stopping)</t>
  </si>
  <si>
    <t xml:space="preserve">p. 847, Sec. VI-B1; p. 846, footnote 3; p. 846, Table II</t>
  </si>
  <si>
    <t xml:space="preserve">Since the accuracy does not well reflect the model performance, we usually adopt the other evaluation criteria based on the number of true / false positive / negative prediction.</t>
  </si>
  <si>
    <t xml:space="preserve">pp. 842-843, Sec. II</t>
  </si>
  <si>
    <t xml:space="preserve">toy_2d_visualization, example_type_analysis | Fig. 6 plots the training sets produced by Clean, SMOTE, Easy, Cascade and SPE on the 2-D checkerboard; Fig. 3 shows per-hardness-bin counts and hardness contribution of the majority set before and after self-paced under-sampling (Payment Simulation)</t>
  </si>
  <si>
    <t xml:space="preserve">p. 845, Fig. 3; p. 847, Fig. 6</t>
  </si>
  <si>
    <t xml:space="preserve">EMDO-2021</t>
  </si>
  <si>
    <t xml:space="preserve">EMDO</t>
  </si>
  <si>
    <t xml:space="preserve">follows_prior_work, comparability, application_domain</t>
  </si>
  <si>
    <t xml:space="preserve">The data sets used in the simulation are the same as those used in [43] for comparing the performance of the EMDO against AMDO and other learning algorithms.</t>
  </si>
  <si>
    <t xml:space="preserve">p. 14, Sec. 6, Example 1; pp. 15-16, Sec. 6, Example 2</t>
  </si>
  <si>
    <t xml:space="preserve">all public=None; source per dataset=False; links=True; modified data released=None</t>
  </si>
  <si>
    <t xml:space="preserve">p. 14, Sec. 6, Example 1; pp. 15-16, Example 2 and Table 6; refs. [58], [59], [64]</t>
  </si>
  <si>
    <t xml:space="preserve">popular, follows_prior_work, fair_comparison, other | follows oversampling papers [30], [32], [39], [40]-[43] (incl. MDO, Abdi &amp; Hashemi 2016; AMDO, Yang et al. 2018)</t>
  </si>
  <si>
    <t xml:space="preserve">This is mainly due to the fact that the classification results with C4.5 do not change as long as the parameter setting and datasets are fixed.</t>
  </si>
  <si>
    <t xml:space="preserve">pp. 12-13, Sec. 6</t>
  </si>
  <si>
    <t xml:space="preserve">selected: method parameters | criterion: other: corner of internal index sigma (ellipsoid density x inclusion ratios) versus number of ellipsoids | data: not stated</t>
  </si>
  <si>
    <t xml:space="preserve">Note that the number of ellipsoids utilized for the minority class is determined using the scheme proposed in Section 4 and is listed in the rightmost column of Table 1</t>
  </si>
  <si>
    <t xml:space="preserve">p. 10, Sec. 4, Fig. 4; p. 13, Sec. 6, Tables 1 and 6</t>
  </si>
  <si>
    <t xml:space="preserve">standard_in_literature, minority_focus</t>
  </si>
  <si>
    <t xml:space="preserve">To measure the capability of EMDO to separate any pair of classes, the area under curve (AUC) [54,55] is widely used in [56,57].</t>
  </si>
  <si>
    <t xml:space="preserve">p. 13, Sec. 6</t>
  </si>
  <si>
    <t xml:space="preserve">toy_2d_visualization | Fig. 3 shows ellipsoids learned with 3, 9 and 6 ellipsoids on a 2-D toy binary dataset (1000 samples per class); illustrates the region model, not synthetic points</t>
  </si>
  <si>
    <t xml:space="preserve">pp. 9-10, Sec. 4, Fig. 3</t>
  </si>
  <si>
    <t xml:space="preserve">HDE-2021</t>
  </si>
  <si>
    <t xml:space="preserve">HDE</t>
  </si>
  <si>
    <t xml:space="preserve">imbalance_level, public_benchmark, comparability, other</t>
  </si>
  <si>
    <t xml:space="preserve">However, the highest IR in KEEL is approximately 100. To evaluate the proposed HD-Ensemble for extreme case, we manually created 14 highly imbalanced datasets.</t>
  </si>
  <si>
    <t xml:space="preserve">p. 165, Sec. 4.1 (also p. 158, Sec. 1; p. 170, Sec. 4.2.2)</t>
  </si>
  <si>
    <t xml:space="preserve">p. 165, Sec. 4.1 and footnotes 1-2; p. 166, Table 1</t>
  </si>
  <si>
    <t xml:space="preserve">fair_comparison</t>
  </si>
  <si>
    <t xml:space="preserve">Decision trees have been selected for the most relevant ensembles in this field, so decision tree C4.5 was used as the base learner in the experiment.</t>
  </si>
  <si>
    <t xml:space="preserve">p. 165, Sec. 4.1</t>
  </si>
  <si>
    <t xml:space="preserve">selected: method parameters | criterion: AUC, G-mean | data: evaluation data</t>
  </si>
  <si>
    <t xml:space="preserve">The HD-Ensemble achieved the best overall performance under the setting of q = 30 and this conclusion is rather consistent across different performance measures.</t>
  </si>
  <si>
    <t xml:space="preserve">p. 165, Sec. 4.1; pp. 170-171, Sec. 4.3; pp. 174-175, Figs. 9-10</t>
  </si>
  <si>
    <t xml:space="preserve">As suggested by previous studies [25,29,15,20], the area under receiver operating characteristic curve (AUC) [5] and G-mean were used as the performance measures.</t>
  </si>
  <si>
    <t xml:space="preserve">Friedman 1937; Holm 1979</t>
  </si>
  <si>
    <t xml:space="preserve">p. 165, Sec. 4.1; p. 170, Sec. 4.2.1-4.2.2; p. 172, Tables 5-6; p. 174, Table 10</t>
  </si>
  <si>
    <t xml:space="preserve">none | Only AUC and G-mean are reported (tables, scatter plots, rankings). Figs. 2-4 are schematic drawings. Diversity, margin distribution and generated-sample quality are design ideas but are never measured in the evaluation.</t>
  </si>
  <si>
    <t xml:space="preserve">pp. 163-164, Figs. 2-4</t>
  </si>
  <si>
    <t xml:space="preserve">RSMOTE-2021</t>
  </si>
  <si>
    <t xml:space="preserve">RSMOTE</t>
  </si>
  <si>
    <t xml:space="preserve">imbalance_level, multiclass_availability, follows_prior_work, difficulty_factors</t>
  </si>
  <si>
    <t xml:space="preserve">the other 18 data sets are artificially imbalanced to obtain higher imbalanced ratios</t>
  </si>
  <si>
    <t xml:space="preserve">p. 408, Sec. 4.3.2 (IR); p. 404, Sec. 4 (multi-class 'to evaluate ... on more complex data sets'); p. 406, Sec. 4.3.1 (toy, moons, circles from [10]; outlier added to fourclass)</t>
  </si>
  <si>
    <t xml:space="preserve">p. 408, Sec. 4.3.2 and footnote 2; p. 409, Table 2; pp. 415-416, Sec. 4.3.3 and Table 7</t>
  </si>
  <si>
    <t xml:space="preserve">diverse_paradigms, fair_comparison, popular</t>
  </si>
  <si>
    <t xml:space="preserve">five classifiers are utilized to ensure that the performance of each method is not limited to a specific classifier</t>
  </si>
  <si>
    <t xml:space="preserve">p. 409, Sec. 4.3.2 (binary; default parameters 'to make a fair comparison'); p. 415, Sec. 4.3.3 ('Six well-known base classifiers' in DOAO)</t>
  </si>
  <si>
    <t xml:space="preserve">The value of each parameter are enumerated to obtain the best result for every oversampling method.</t>
  </si>
  <si>
    <t xml:space="preserve">p. 409, Sec. 4.3.2</t>
  </si>
  <si>
    <t xml:space="preserve">accuracy_misleading, minority_focus, standard_in_literature, multiclass_suitability</t>
  </si>
  <si>
    <t xml:space="preserve">As the classification accuracy in traditional binary classification is biased to the majority class, it cannot reflect the classification result authentically.</t>
  </si>
  <si>
    <t xml:space="preserve">pp. 404-405, Sec. 4.1</t>
  </si>
  <si>
    <t xml:space="preserve">Demsar 2006; Friedman 1937; Rodriguez-Fdez et al. 2015; Holm-Bonferroni method (Wikipedia URL)</t>
  </si>
  <si>
    <t xml:space="preserve">pp. 405-406, Sec. 4.2; pp. 412-414, Sec. 4.3.2, Tables 5-6; Appendix Table A.12</t>
  </si>
  <si>
    <t xml:space="preserve">toy_2d_visualization, complexity_analysis | Figs. 2-5 plot original and generated samples of all seven oversamplers on 2-D toy, moons, circles and fourclass (with an added outlier) sets; Sec. 3.2 gives O(nN + nt + ns + n) time complexity</t>
  </si>
  <si>
    <t xml:space="preserve">pp. 406-408, Sec. 4.3.1, Figs. 2-5; p. 403, Sec. 3.2</t>
  </si>
  <si>
    <t xml:space="preserve">CBHSID-2022</t>
  </si>
  <si>
    <t xml:space="preserve">CBHSID</t>
  </si>
  <si>
    <t xml:space="preserve">imbalance_level, public_benchmark, comparability</t>
  </si>
  <si>
    <t xml:space="preserve">The datasets are chosen based on the class imbalance ratio.</t>
  </si>
  <si>
    <t xml:space="preserve">p. 118646, Sec. IV.A.3 (also: 'The selected datasets are considered as benchmark and widely used in the literature as summarized by [29]'), Table 1</t>
  </si>
  <si>
    <t xml:space="preserve">p. 118646, Sec. IV.A.3, Table 1</t>
  </si>
  <si>
    <t xml:space="preserve">The most well-known and straightforward classification algorithm, Support Vector Machine (SVM), is considered the base classifier for our experiments, the same has been widely used for the classification tasks</t>
  </si>
  <si>
    <t xml:space="preserve">p. 118646, Sec. IV.A.1</t>
  </si>
  <si>
    <t xml:space="preserve">All approaches are used with default parameters.</t>
  </si>
  <si>
    <t xml:space="preserve">p. 118646, Sec. IV.A.3</t>
  </si>
  <si>
    <t xml:space="preserve">standard_in_literature, minority_focus, cost</t>
  </si>
  <si>
    <t xml:space="preserve">The classification performance is measured on the geometric mean (G-Mean), Recall, and F1 score metrics, mostly used in the literature when data is imbalanced [56].</t>
  </si>
  <si>
    <t xml:space="preserve">p. 118646, Sec. IV.A.2 (Recall: 'The positive class is in the minority in most applications such as health systems [1]. Therefore, the algorithms which produce high Recall values are considered more helpful')</t>
  </si>
  <si>
    <t xml:space="preserve">Friedman 1940; Demsar 2006; Ghasemi &amp; Zahediasl 2012</t>
  </si>
  <si>
    <t xml:space="preserve">p. 118649, Sec. IV.B.1, Table 7 (Friedman, Bonferroni-Dunn citing Demsar 2006, Wilcoxon citing [61]); p. 118650, Fig. 4, Table 8</t>
  </si>
  <si>
    <t xml:space="preserve">FW-SMOTE-2022</t>
  </si>
  <si>
    <t xml:space="preserve">FW-SMOTE</t>
  </si>
  <si>
    <t xml:space="preserve">public_benchmark, varied_characteristics, follows_prior_work</t>
  </si>
  <si>
    <t xml:space="preserve">We applied the proposed FW-SMOTE and alternative oversampling approaches to well-known benchmark datasets with a wide range of sample sizes and imbalance ratios.</t>
  </si>
  <si>
    <t xml:space="preserve">p. 6, Sec. 4 (12 microarray sets 'reported in Maldonado et al. [6]': p. 6-7, Sec. 4.1)</t>
  </si>
  <si>
    <t xml:space="preserve">p. 6-7, Sec. 4.1, Table 1</t>
  </si>
  <si>
    <t xml:space="preserve">selected: method parameters, sampling rate | criterion: AUC | data: evaluation data</t>
  </si>
  <si>
    <t xml:space="preserve">The only “parameter” choice that was made based on the average test performance was the amount of oversampling N.</t>
  </si>
  <si>
    <t xml:space="preserve">p. 7-8, Sec. 4.1; p. 9-10, Sec. 4.3, Table 4; Supplementary Appendix A (p. 29)</t>
  </si>
  <si>
    <t xml:space="preserve">standard_in_literature, other</t>
  </si>
  <si>
    <t xml:space="preserve">We also included a metric based on the binary confusion matrix that is able to provide a balance between the two class accuracies, as suggested in [46].</t>
  </si>
  <si>
    <t xml:space="preserve">p. 7, Sec. 4.1</t>
  </si>
  <si>
    <t xml:space="preserve">p. 8, Sec. 4.2 (Friedman with Iman-Davenport, Holm post-hoc vs best-ranked); Tables 2, 3, 5</t>
  </si>
  <si>
    <t xml:space="preserve">GDO-2022</t>
  </si>
  <si>
    <t xml:space="preserve">GDO</t>
  </si>
  <si>
    <t xml:space="preserve">varied_characteristics, application_domain</t>
  </si>
  <si>
    <t xml:space="preserve">Ten large data sets are also selected from the UCI machine learning repository to test the performance of our proposal.</t>
  </si>
  <si>
    <t xml:space="preserve">p. 673, Sec. 4.2.2; p. 677, Sec. 4.8</t>
  </si>
  <si>
    <t xml:space="preserve">p. 673, Sec. 4.2, Table 2; p. 674, Table 3, Sec. 4.2.3, footnote 1</t>
  </si>
  <si>
    <t xml:space="preserve">The compared algorithms and the specific parameter configurations of these algorithms are presented in Table 5.</t>
  </si>
  <si>
    <t xml:space="preserve">p. 674, Sec. 4.3; p. 675, Table 5; p. 676, Sec. 4.6</t>
  </si>
  <si>
    <t xml:space="preserve">However, it is possible to get high accuracy without identifying any minority class instance because of the high imbalance rate of imbalanced data sets.</t>
  </si>
  <si>
    <t xml:space="preserve">pp. 672-673, Sec. 4.1</t>
  </si>
  <si>
    <t xml:space="preserve">Sheskin 1997; Gregory &amp; Foreman 2009</t>
  </si>
  <si>
    <t xml:space="preserve">pp. 675-676, Sec. 4.5, Table 10</t>
  </si>
  <si>
    <t xml:space="preserve">toy_2d_visualization, theoretical_analysis, complexity_analysis | Fig. 3 resampling-probability contour/distribution maps; Figs. 4-5 artificial 2-D set (200 majority, 33 minority) with synthetic points from GDO, SMOTE, B1-SMOTE, SMOTE-ENN, SMOTE-TL, ADASYN; Sec. 3.4 derives oversampling probability P(X) (Eq. 17); Sec. 3.5 time complexity O(|Tmin||T|).</t>
  </si>
  <si>
    <t xml:space="preserve">pp. 671-672, Secs. 3.4-3.6, Figs. 3-5</t>
  </si>
  <si>
    <t xml:space="preserve">KNNOR-2022</t>
  </si>
  <si>
    <t xml:space="preserve">KNNOR</t>
  </si>
  <si>
    <t xml:space="preserve">public_benchmark, comparability</t>
  </si>
  <si>
    <t xml:space="preserve">These are collected from the Knowledge Extraction Based on Evolutionary Learning(KEEL) repository [39] and have been used in recent evaluations [24,40,41].</t>
  </si>
  <si>
    <t xml:space="preserve">p. 11, Sec. 4.1</t>
  </si>
  <si>
    <t xml:space="preserve">p. 1, Code metadata and footnote; p. 11, Sec. 4.1, Table 2; p. 17, Refs. [19], [39], [42]</t>
  </si>
  <si>
    <t xml:space="preserve">fair_comparison, follows_prior_work | follows Kovacs 2019</t>
  </si>
  <si>
    <t xml:space="preserve">Different classifiers tend to work well with different type of oversamplers [24]. In order to enable fair comparison, the classifiers chosen are k Nearest Neighbors (kNN) [38]</t>
  </si>
  <si>
    <t xml:space="preserve">p. 11, Sec. 4 and Sec. 4.2</t>
  </si>
  <si>
    <t xml:space="preserve">selected: method parameters, classifier hyperparameters | criterion: AUC, F1, G-mean, P20 (precision at top 20%) | data: evaluation data</t>
  </si>
  <si>
    <t xml:space="preserve">For each combination of dataset, oversampler and classifier, the top results were generated. This gave a total of 3996 results.</t>
  </si>
  <si>
    <t xml:space="preserve">p. 11-12, Sec. 4.2-4.3</t>
  </si>
  <si>
    <t xml:space="preserve">Keeping in mind that the data used is imbalanced, the widely accepted and standard measures characterizing binary classification may not be suitable here.</t>
  </si>
  <si>
    <t xml:space="preserve">p. 12, Sec. 4.4</t>
  </si>
  <si>
    <t xml:space="preserve">toy_2d_visualization, other | 2-D plots of SMOTE noise (Iris, Fig. 2), KNNOR point filtering incl. outliers and injected mislabels (Iris, Figs. 7-10), synthetic points on simulated sets (Figs. 12-14), Haberman with different thresholds (Fig. 19), and new-thyroid1 synthetic points from KNNOR vs polynom-fit-SMOTE, ProWSyn, SMOTE-IPF, Lee (Figs. 20-21); generated images shown in Figs. 23-24; all qualitative</t>
  </si>
  <si>
    <t xml:space="preserve">p. 2, Fig. 2; p. 4-9, Sec. 3.1-3.3, Figs. 7-14; p. 9-13, Figs. 19-21; p. 14-16, Sec. 6, Figs. 23-24</t>
  </si>
  <si>
    <t xml:space="preserve">SHSampler-2022</t>
  </si>
  <si>
    <t xml:space="preserve">SHSampler</t>
  </si>
  <si>
    <t xml:space="preserve">varied_characteristics, difficulty_factors</t>
  </si>
  <si>
    <t xml:space="preserve">To ensure thorough assessments, the datasets vary widely in the properties including imbalanced degree (Id) [30] and Fisher’s discriminant ratio (Fdr) [31].</t>
  </si>
  <si>
    <t xml:space="preserve">pdf p. 5, Sec. IV.A (Datasets); pdf p. 10, Table III</t>
  </si>
  <si>
    <t xml:space="preserve">pdf p. 5, Sec. IV.A; pdf p. 10, Table III</t>
  </si>
  <si>
    <t xml:space="preserve">We adopt three of the best-known classification algorithms as the base classifiers including: Decision Tree (DT), Random Forest (RF) and Naive Bayes (NB).</t>
  </si>
  <si>
    <t xml:space="preserve">pdf p. 6, Sec. IV.A (Base classifiers)</t>
  </si>
  <si>
    <t xml:space="preserve">Besides, SHSampler is parameter-free as it is adaptive to data distribution.</t>
  </si>
  <si>
    <t xml:space="preserve">pdf p. 8, Sec. VI; pdf p. 6, Sec. IV.A</t>
  </si>
  <si>
    <t xml:space="preserve">We evaluate the classification performance of multi-class imbalanced data with two commonly used metrics: extension of AUC (MAUC) [35] and mutli-class G-measure (mGM) [2].</t>
  </si>
  <si>
    <t xml:space="preserve">pdf p. 6, Sec. IV.A (Evaluation metrics)</t>
  </si>
  <si>
    <t xml:space="preserve">Demsar 2006; Benavoli et al. 2017</t>
  </si>
  <si>
    <t xml:space="preserve">pdf p. 6, Sec. IV.D, Tables I-II (mean rank 'obtained by Fredman test'); pdf p. 7, Sec. IV.E, Fig. 7 (Bayesian signed-rank, rope 0.5%)</t>
  </si>
  <si>
    <t xml:space="preserve">complexity_analysis | Big-O analysis of similarity/dissimilarity estimation, undersampling and oversampling, simplified to O(T^2 d)</t>
  </si>
  <si>
    <t xml:space="preserve">pdf pp. 4-5, Sec. III.D</t>
  </si>
  <si>
    <t xml:space="preserve">SOS-2022</t>
  </si>
  <si>
    <t xml:space="preserve">SOS</t>
  </si>
  <si>
    <t xml:space="preserve">p. 767, Sec. 4.1.1 (citation per data set); p. 770, References [1], [2], [13], [26] (Kaggle and UCI URLs); p. 767, Sec. 4.1.3 and p. 771, App. A ('Our codes and data are at https://github.com/JayoungKim408/SOS')</t>
  </si>
  <si>
    <t xml:space="preserve">follows_prior_work | follows Lee et al. 2021 (IT-GAN); Xu et al. 2019 (CTGAN)</t>
  </si>
  <si>
    <t xml:space="preserve">the same evaluation scenario had been used in [25, 44] and we strictly follow their evaluation protocols</t>
  </si>
  <si>
    <t xml:space="preserve">p. 767, Sec. 4.1.4</t>
  </si>
  <si>
    <t xml:space="preserve">selected: method parameters, best variant | criterion: F1 | data: evaluation data</t>
  </si>
  <si>
    <t xml:space="preserve">In Tables 7 and 8, we list the best hyperparameters.</t>
  </si>
  <si>
    <t xml:space="preserve">p. 768, Sec. 4.3, Table 3 ('We used T = 50 in Table 2. Others for T produce sub-optimal results in Table 3'); p. 771, App. A, Tables 7-8</t>
  </si>
  <si>
    <t xml:space="preserve">We use the weighted F1 since the testing data is also imbalanced.</t>
  </si>
  <si>
    <t xml:space="preserve">projection_visualization, complexity_analysis, other | Fig. 5 compares column histograms of real, SOS and CTGAN records (Surgical bmi, WeatherAUS temperature); Fig. 6 t-SNE of real non-target and fake target records on WeatherAUS; Sec. 3.4 states fine-tuning complexity O(|T|m)</t>
  </si>
  <si>
    <t xml:space="preserve">p. 769, Sec. 4.7, Figs. 5-6; p. 766, Sec. 3.4</t>
  </si>
  <si>
    <t xml:space="preserve">SVDDWSMOTE-2022</t>
  </si>
  <si>
    <t xml:space="preserve">SVDD-WSMOTE</t>
  </si>
  <si>
    <t xml:space="preserve">varied_characteristics, imbalance_level, application_domain</t>
  </si>
  <si>
    <t xml:space="preserve">These datasets are selected in such a way that they have different numbers of instances, classes, dimensions, and imbalanced ratios.</t>
  </si>
  <si>
    <t xml:space="preserve">p. 34, Sec. 5.3 (also Pageblock/Yeast class combinations 'to simulate the scenarios with higher imbalance ratios'); p. 45, Sec. 5.5 (bearing fault application)</t>
  </si>
  <si>
    <t xml:space="preserve">p. 34, Sec. 5.3; p. 35, Table 2; p. 28, Sec. 5.1 (GitHub for 2-D simulated sets); p. 45, Sec. 5.5 (own test-rig data); p. 50, Ref. [28] (UCI URL)</t>
  </si>
  <si>
    <t xml:space="preserve">we use several different classifiers to ensure that the results can be generalized and are not sensitive to the selection of a specific classifier</t>
  </si>
  <si>
    <t xml:space="preserve">p. 34, Sec. 5.3; p. 45, Sec. 5.5 and p. 47, Sec. 5.7 (LDA only, to avoid parameter effects)</t>
  </si>
  <si>
    <t xml:space="preserve">selected: method parameters, classifier hyperparameters | criterion: G-mean, other: EM = majority outliers + IR x minority outliers + number of support vectors (SVDD fit), not stated | data: inner validation (training data only)</t>
  </si>
  <si>
    <t xml:space="preserve">using stratified cross-validation in the training dataset based on G-Means performance metric</t>
  </si>
  <si>
    <t xml:space="preserve">p. 34, Sec. 5.3 (SVM C and kernel width); p. 28, Sec. 5.1, Eq. (26) (SVDD C1 and kernel width)</t>
  </si>
  <si>
    <t xml:space="preserve">The overall accuracy assessment metric is unsuitable for evaluating classification performance for imbalanced classification problems since the negative class dominates this metric relative to the positive class.</t>
  </si>
  <si>
    <t xml:space="preserve">p. 32, Sec. 5.2; p. 34, Sec. 5.2 (AUC 'not sensitive to the distribution of two classes')</t>
  </si>
  <si>
    <t xml:space="preserve">Tao et al. 2019</t>
  </si>
  <si>
    <t xml:space="preserve">p. 35, Sec. 5.4; p. 44, Table 7; p. 47, Table 9</t>
  </si>
  <si>
    <t xml:space="preserve">toy_2d_visualization, complexity_analysis | Sec. 5.1 and Figs. 1-15 plot noise/overlap removal, weights and generated samples on four 2-D simulated sets, including different K values (Fig. 15). Sec. 4.6 gives big-O complexity.</t>
  </si>
  <si>
    <t xml:space="preserve">pp. 18-25, Figs. 1-6; pp. 28-33, Sec. 5.1, Figs. 7-15; pp. 27-28, Sec. 4.6</t>
  </si>
  <si>
    <t xml:space="preserve">GLOS-2023</t>
  </si>
  <si>
    <t xml:space="preserve">GLOS</t>
  </si>
  <si>
    <t xml:space="preserve">In order to examine the robustness of GLOS in different imbalanced situations, we selected Segment and Texture data sets and modified them to different imbalanced cases.</t>
  </si>
  <si>
    <t xml:space="preserve">p. 2083, Sec. 4.3</t>
  </si>
  <si>
    <t xml:space="preserve">p. 2079, Sec. 4.1, Table 1</t>
  </si>
  <si>
    <t xml:space="preserve">The C4.5 with default parameters is used as the base classifier in all experiments, as it is insensitive to imbalanced data.</t>
  </si>
  <si>
    <t xml:space="preserve">p. 2079, Sec. 4.1</t>
  </si>
  <si>
    <t xml:space="preserve">selected: best variant, method parameters | criterion: not stated, G-mean, other: Pave, other: IAM (not defined in the paper) | data: evaluation data</t>
  </si>
  <si>
    <t xml:space="preserve">Furthermore, we selected the best result of all decomposition strategies as the final results of each method to analyze the performance of all approaches.</t>
  </si>
  <si>
    <t xml:space="preserve">p. 2079, Sec. 4.1; p. 2081, Sec. 4.3, Fig. 7</t>
  </si>
  <si>
    <t xml:space="preserve">accuracy_misleading, minority_focus, multiclass_suitability, threshold_free</t>
  </si>
  <si>
    <t xml:space="preserve">Traditionally, the most widely used metrics for classification are accuracy and error rate. However, they can be deceiving in imbalanced situations [40].</t>
  </si>
  <si>
    <t xml:space="preserve">pp. 2080-2081, Sec. 4.2</t>
  </si>
  <si>
    <t xml:space="preserve">pp. 2083-2085, Sec. 4.3, Tables 2-6</t>
  </si>
  <si>
    <t xml:space="preserve">toy_2d_visualization, example_type_analysis, complexity_analysis | Figs. 2-3 plot a 2-D demo set (decision regions after each oversampling phase; instances after selection and Safe/Borderline/Small-disjunct partition); Fig. 7 counts Safe/Small-disjunct/Borderline instances as alpha varies on Sonar; Sec. 3.5 gives a big-O complexity analysis.</t>
  </si>
  <si>
    <t xml:space="preserve">p. 2073, Fig. 2; p. 2076, Fig. 3; p. 2078, Sec. 3.5; p. 2079, Fig. 7</t>
  </si>
  <si>
    <t xml:space="preserve">NROMM-2023</t>
  </si>
  <si>
    <t xml:space="preserve">NROMM</t>
  </si>
  <si>
    <t xml:space="preserve">follows_prior_work, comparability</t>
  </si>
  <si>
    <t xml:space="preserve">Inspired by [8,13], we use the same 20 imbalanced datasets from the KEEL repository [12] as our experimental data.</t>
  </si>
  <si>
    <t xml:space="preserve">p. 6, Sec. 5.1; Supp. p. 11, Table 1 text; Supp. p. 16, Sec. 8; Supp. p. 22, Sec. 9</t>
  </si>
  <si>
    <t xml:space="preserve">p. 6, Sec. 5.1; p. 7, Table 2; Supp. p. 11, Table 1; Supp. p. 16, Sec. 8</t>
  </si>
  <si>
    <t xml:space="preserve">follows_prior_work | follows Koziarski et al. 2020 (MC-CCR); Krawczyk et al. 2020 (MC-RBO); Yao &amp; Lin 2021 (EMDO, C4.5 comparison)</t>
  </si>
  <si>
    <t xml:space="preserve">In our work, we follow MC-CCR [8] and MC-RBO [10], using the same classification algorithms, cross-validation, and assessment metrics.</t>
  </si>
  <si>
    <t xml:space="preserve">Supp. p. 19, Sec. 9; Supp. p. 22, Sec. 9</t>
  </si>
  <si>
    <t xml:space="preserve">selected: method parameters, classifier hyperparameters, best variant | criterion: not stated, AvAcc, CBA | data: not stated</t>
  </si>
  <si>
    <t xml:space="preserve">The parameters of classification algorithms, reference algorithms, and the proposed algorithm throughout the experimental study are presented in Table 4.</t>
  </si>
  <si>
    <t xml:space="preserve">Supp. p. 14, Sec. 7.4; Supp. p. 15, Table 4; p. 9, Sec. 5.3, Table 5</t>
  </si>
  <si>
    <t xml:space="preserve">standard_in_literature, threshold_free, multiclass_suitability</t>
  </si>
  <si>
    <t xml:space="preserve">Four skew-insensitive metrics used in [8, 10] are: average accuracy (AvAcc), class balance accuracy (CBA), multi-class G-measure (MG), and confusion entropy (CEN).</t>
  </si>
  <si>
    <t xml:space="preserve">Supp. pp. 19-20, Sec. 9; Supp. p. 16, Sec. 8</t>
  </si>
  <si>
    <t xml:space="preserve">Garcia et al. 2010; Demsar 2006</t>
  </si>
  <si>
    <t xml:space="preserve">p. 6, Sec. 5.2; p. 8, Table 4, Fig. 5; Supp. p. 31, Table 22</t>
  </si>
  <si>
    <t xml:space="preserve">toy_2d_visualization | Supp. Figs. 1-4 plot four 2-D simulated datasets showing minority types, synthetic samples and the detected overlapping set before/after cleaning. Inland/borderline/trapped percentages and an overlap index (oR) are computed only for the original datasets and correlated with NROMM's rank (Sec. 5.4), not for resampled data.</t>
  </si>
  <si>
    <t xml:space="preserve">Supp. pp. 17-18, Figs. 1-4; p. 7, Table 2; p. 9, Sec. 5.4</t>
  </si>
  <si>
    <t xml:space="preserve">OREM-2023</t>
  </si>
  <si>
    <t xml:space="preserve">OREM</t>
  </si>
  <si>
    <t xml:space="preserve">public_benchmark, varied_characteristics, imbalance_level</t>
  </si>
  <si>
    <t xml:space="preserve">They contain widely used ordinal regression benchmark datasets [39] and UCI datasets [33].</t>
  </si>
  <si>
    <t xml:space="preserve">p. 6177, Sec. 4.2.1; Supp. Sec. S6 (high-dimensional groups)</t>
  </si>
  <si>
    <t xml:space="preserve">p. 6174, Sec. 4.1.1, Table 2; p. 6177, Sec. 4.2.1, Table 6; Supp. Sec. S6, Tables S6-S7</t>
  </si>
  <si>
    <t xml:space="preserve">We selected three commonly used classifiers. They are C4.5, NN, and SVM.</t>
  </si>
  <si>
    <t xml:space="preserve">pp. 6174-6175, Sec. 4.1.1</t>
  </si>
  <si>
    <t xml:space="preserve">selected: classifier hyperparameters, none (fixed settings) | criterion: not stated | data: inner validation (training data only)</t>
  </si>
  <si>
    <t xml:space="preserve">The penalty parameter C is optimized through the build-in 5-fold cross validation of LIBSVM.</t>
  </si>
  <si>
    <t xml:space="preserve">p. 6175, Sec. 4.1.1; p. 6176, Table 3 and Sec. 4.1.4</t>
  </si>
  <si>
    <t xml:space="preserve">threshold_free, multiclass_suitability, other</t>
  </si>
  <si>
    <t xml:space="preserve">F1, G-mean, and AUC [37] are together used as the skew-insensitive measures to evaluate the performance of classifiers.</t>
  </si>
  <si>
    <t xml:space="preserve">p. 6175, Sec. 4.1.1; p. 6177, Sec. 4.2.1; Supp. Sec. S3</t>
  </si>
  <si>
    <t xml:space="preserve">Benavoli et al. 2016</t>
  </si>
  <si>
    <t xml:space="preserve">p. 6175, Sec. 4.1.1 (Statistical Analysis); Tables 4, 5, 7, 10, 11</t>
  </si>
  <si>
    <t xml:space="preserve">complexity_analysis, toy_2d_visualization, diversity_measure | Worst-case O(nmin*n^2) analysis of OREM, OREM-M and OREMBoost plus counted distance operations on all datasets (Supp. Tables S2-S3); Supp. Fig. S2 plots synthetic samples of SMOTE, MWMOTE, INOS, RBO, GDO, FWSMOTE and OREM on a simulated 2-D set (60 minority, 584 majority, 6 noisy) against a balanced reference (Fig. S3); Supp. S7 uses Q-statistic diversity of ensemble members</t>
  </si>
  <si>
    <t xml:space="preserve">pp. 6173-6174, Sec. 3.4; Supp. Secs. S2, S5 (Figs. S2-S3), S7 (Fig. S5)</t>
  </si>
  <si>
    <t xml:space="preserve">GMMSampling-2024</t>
  </si>
  <si>
    <t xml:space="preserve">GMMSampling</t>
  </si>
  <si>
    <t xml:space="preserve">comparability, follows_prior_work, varied_characteristics, difficulty_factors</t>
  </si>
  <si>
    <t xml:space="preserve">eleven real and four artificial datasets that were commonly used in the related studies (Janicka et al., 2019; Lango &amp; Stefanowski, 2018)</t>
  </si>
  <si>
    <t xml:space="preserve">p. 5193, Sec. 4.1</t>
  </si>
  <si>
    <t xml:space="preserve">p. 5193, Sec. 4.1; p. 5194, Table 1; p. 5200, Availability of data and materials</t>
  </si>
  <si>
    <t xml:space="preserve">selected: method parameters | criterion: other: GMM likelihood on a development split of the minority-class training data (number of components) | data: inner validation (training data only)</t>
  </si>
  <si>
    <t xml:space="preserve">When the value of the likelihood function on the development test begins to decrease, the process is terminated and the current number of components is selected.</t>
  </si>
  <si>
    <t xml:space="preserve">pp. 5191-5192, Sec. 3.2 and footnote 1</t>
  </si>
  <si>
    <t xml:space="preserve">These measures were selected because they are commonly used in the related studies on imbalanced data, and also because there is no clear consensus on the most appropriate metrics</t>
  </si>
  <si>
    <t xml:space="preserve">pp. 5194-5195, Sec. 4.1</t>
  </si>
  <si>
    <t xml:space="preserve">p. 5196, Sec. 4.2; p. 5197, Table 3; p. 5198, Table 4</t>
  </si>
  <si>
    <t xml:space="preserve">projection_visualization, complexity_analysis | Fig. 1 shows the new-thyroid dataset before and after GMMSampling (and the fitted GMMs) in a PCA projection. Sec. 3.2 derives the worst-case complexity O(n^2 + nIK). The ablation study (Table 5) uses classifier G-mean only.</t>
  </si>
  <si>
    <t xml:space="preserve">p. 5190, Fig. 1; p. 5193, Sec. 3.2</t>
  </si>
  <si>
    <t xml:space="preserve">MC-MBRC-2024</t>
  </si>
  <si>
    <t xml:space="preserve">MC-MBRC</t>
  </si>
  <si>
    <t xml:space="preserve">To generate various overlapping scenes in our experiment, we followed the method of Pattaramon et al. (2020).</t>
  </si>
  <si>
    <t xml:space="preserve">p. 10, Sec. 5.2 (artificial data); p. 9, Sec. 4.2 (20 real sets, no reason given)</t>
  </si>
  <si>
    <t xml:space="preserve">p. 9, Sec. 4.2; p. 7, Table 2; p. 1, footnote (Code Ocean); p. 13, Data availability</t>
  </si>
  <si>
    <t xml:space="preserve">To ensure the effectiveness of the results, we combined four different classification algorithms to evaluate the oversampling algorithms considered</t>
  </si>
  <si>
    <t xml:space="preserve">pp. 7-9, Sec. 4.1</t>
  </si>
  <si>
    <t xml:space="preserve">It can be seen from Table 17 that m has little influence on the algorithm, so we set m to 2 in the experiment.</t>
  </si>
  <si>
    <t xml:space="preserve">p. 13, App. A.3 and p. 14, Table 17; p. 6, Table 1; p. 9, Table 8; p. 4, Sec. 3 (m=2 by convention)</t>
  </si>
  <si>
    <t xml:space="preserve">multiclass_suitability, standard_in_literature</t>
  </si>
  <si>
    <t xml:space="preserve">For multi-class imbalanced datasets, we need new dedicated metrics because metrics used in two-class imbalanced problems cannot be directly applied.</t>
  </si>
  <si>
    <t xml:space="preserve">p. 9, Sec. 5.1, Table 7 (post-hoc Nemenyi, 95%); p. 13, App. A.1-A.2, Tables 13-16</t>
  </si>
  <si>
    <t xml:space="preserve">toy_2d_visualization, complexity_analysis | Figs. 1-2 plot a 2-D artificial set (IR 1.5, 40% overlap, 10% label noise) before and after division into safe/overlap/noise areas (generated points are not shown); Sec. 3 states O(NC) cost for membership vs O(N^2) for k-NN</t>
  </si>
  <si>
    <t xml:space="preserve">p. 4, Fig. 1 and Sec. 3; p. 5, Fig. 2</t>
  </si>
  <si>
    <t xml:space="preserve">MKC-SMOTE-2024</t>
  </si>
  <si>
    <t xml:space="preserve">MKC-SMOTE</t>
  </si>
  <si>
    <t xml:space="preserve">p. 196933, Sec. IV.A.1 (URL http://archive.ics.uci.edu/), Table 1</t>
  </si>
  <si>
    <t xml:space="preserve">popular, diverse_paradigms</t>
  </si>
  <si>
    <t xml:space="preserve">To verify the classification performance of the MKC-SMOTE algorithm on different classifiers for multi-class imbalanced datasets, two commonly used base classifiers were selected</t>
  </si>
  <si>
    <t xml:space="preserve">p. 196934, Sec. IV.A.3</t>
  </si>
  <si>
    <t xml:space="preserve">selected: method parameters | criterion: MAUC, G-mean | data: evaluation data</t>
  </si>
  <si>
    <t xml:space="preserve">Results indicate that k = 5 consistently achieved the best performance for both MAUC and MG across the CART and SVM classifiers.</t>
  </si>
  <si>
    <t xml:space="preserve">p. 196936, Sec. IV.B, Table 6 (k = 5 and dup_size = 2 fixed on p. 196932; defaults for classifiers and competitors, pp. 196933-196935, Table 2)</t>
  </si>
  <si>
    <t xml:space="preserve">standard_in_literature, multiclass_suitability</t>
  </si>
  <si>
    <t xml:space="preserve">In multi-class imbalance problems, two commonly used assessment metrics are MG [2], [9] and MAUC [2], [9].</t>
  </si>
  <si>
    <t xml:space="preserve">p. 196934, Sec. IV.A.2 (also p. 196935: 'A high G-mean ensures that no class is overlooked [41]')</t>
  </si>
  <si>
    <t xml:space="preserve">Newaz et al. 2022; Gao et al. 2021</t>
  </si>
  <si>
    <t xml:space="preserve">p. 196935, Sec. IV.A.4 (Wilcoxon signed rank test citing [17]); p. 196936, Sec. IV.B, Table 5 (citing [20])</t>
  </si>
  <si>
    <t xml:space="preserve">CISO-2025</t>
  </si>
  <si>
    <t xml:space="preserve">CISO</t>
  </si>
  <si>
    <t xml:space="preserve">public_benchmark, comparability, varied_characteristics</t>
  </si>
  <si>
    <t xml:space="preserve">The KEEL evaluation suite represents the standard benchmarks on which oversampling methods are conventionally assessed, but its datasets remain small</t>
  </si>
  <si>
    <t xml:space="preserve">p. 26, Sec. 6.5 (UCI scale suite 'probes generalization beyond the KEEL regime': p. 15, Sec. 5.1)</t>
  </si>
  <si>
    <t xml:space="preserve">p. 15, Sec. 5.1; p. 16, Table 1; p. 18, Table 2</t>
  </si>
  <si>
    <t xml:space="preserve">These represent distinct inductive biases, including logistic regression (LR), an RBF-kernel support vector machine (SVC), random forest (RF), and histogram-based gradient boosting (HGB).</t>
  </si>
  <si>
    <t xml:space="preserve">p. 17, Sec. 5.3</t>
  </si>
  <si>
    <t xml:space="preserve">selected: method parameters | criterion: PR-AUC | data: other: five disjoint KEEL tuning datasets excluded from all evaluation</t>
  </si>
  <si>
    <t xml:space="preserve">The selection criterion, fixed prior to evaluation, is the mean PR-AUC across the tuning datasets and the four classifiers.</t>
  </si>
  <si>
    <t xml:space="preserve">p. 17, Sec. 5.5; p. 18, Table 2</t>
  </si>
  <si>
    <t xml:space="preserve">threshold_free, other</t>
  </si>
  <si>
    <t xml:space="preserve">This threshold-free metric is well suited for imbalance regimes, where precision–recall analysis offers greater informativeness than the ROC curve</t>
  </si>
  <si>
    <t xml:space="preserve">p. 17, Sec. 5.4 (PR-AUC choice also motivated by prior analyses, p. 4-5, Sec. 2)</t>
  </si>
  <si>
    <t xml:space="preserve">p. 17-18, Sec. 5.6 (Friedman + Holm vs CISO, Wilcoxon signed-rank with Holm, Spearman); p. 18-19, Sec. 5.7</t>
  </si>
  <si>
    <t xml:space="preserve">toy_2d_visualization, theoretical_analysis, complexity_analysis, distribution_distance, privacy_or_fidelity, other | Fig. 1 shows certificates on four controlled 2-D minority geometries; Lemmas 1-5 and Prop. 1 prove clearance and monotonicity; Sec. 4.6 gives big-O cost; held-out MMD^2 and classifier two-sample test AUC vs held-out minority (Fig. 3); alpha sweep on fidelity-clearance plane (Fig. 4); ablations compared on a novelty diagnostic (Table 4); certified fraction reported per dataset.</t>
  </si>
  <si>
    <t xml:space="preserve">p. 9, Fig. 1; p. 8-14, Sec. 4; p. 14-15, Sec. 4.6; p. 22, Table 4; p. 24-26, Sec. 6.4, Figs. 3-4</t>
  </si>
  <si>
    <t xml:space="preserve">GDHS-2025</t>
  </si>
  <si>
    <t xml:space="preserve">GDHS</t>
  </si>
  <si>
    <t xml:space="preserve">all public=None; source per dataset=False; links=False; modified data released=None</t>
  </si>
  <si>
    <t xml:space="preserve">pp. 7-8, Sec. 4.1, Table 1; p. 14, Data availability</t>
  </si>
  <si>
    <t xml:space="preserve">sensitive_to_imbalance, follows_prior_work | follows Saez et al. 2015</t>
  </si>
  <si>
    <t xml:space="preserve">Sáez et al. [50] states that decision tree (DT) classifier is more sensitive to imbalance learning among all commonly used algorithms</t>
  </si>
  <si>
    <t xml:space="preserve">p. 8, Sec. 4.1 (Base classifier)</t>
  </si>
  <si>
    <t xml:space="preserve">selected: method parameters | criterion: mGM, MAUC | data: evaluation data</t>
  </si>
  <si>
    <t xml:space="preserve">achieves the best performance on most of the datasets, and both the average and mean rank are optimal.</t>
  </si>
  <si>
    <t xml:space="preserve">pp. 8-9, Sec. 4.2, Tables 2-3, Fig. 6</t>
  </si>
  <si>
    <t xml:space="preserve">In multi-class imbalanced data, mGM and MAUC are the most commonly used classification evaluation metrics [17,48], and therefore, we adopt these two metrics in this study.</t>
  </si>
  <si>
    <t xml:space="preserve">p. 8, Sec. 4.1 (Assessment metrics)</t>
  </si>
  <si>
    <t xml:space="preserve">Benavoli et al. 2017</t>
  </si>
  <si>
    <t xml:space="preserve">pp. 12-13, Sec. 4.5, Figs. 7-8</t>
  </si>
  <si>
    <t xml:space="preserve">GOIO-2025</t>
  </si>
  <si>
    <t xml:space="preserve">GOIO</t>
  </si>
  <si>
    <t xml:space="preserve">difficulty_factors, varied_characteristics, follows_prior_work</t>
  </si>
  <si>
    <t xml:space="preserve">We generated five synthetic datasets based on two multivariate Gaussian distributions following [50], enabling precise control over dataset characteristics for clearer result interpretation.</t>
  </si>
  <si>
    <t xml:space="preserve">p. 6456, Sec. IV-A, Table II</t>
  </si>
  <si>
    <t xml:space="preserve">p. 6455-6456, Sec. IV-A, Table I; p. 6457, footnote 1; p. 6463, Ref. [48]</t>
  </si>
  <si>
    <t xml:space="preserve">popular, follows_prior_work | follows Azhar et al. 2023</t>
  </si>
  <si>
    <t xml:space="preserve">we evaluate the performance of these resampling algorithms through several widely used machine learning classifiers with reference to the experimental design methodology of [14].</t>
  </si>
  <si>
    <t xml:space="preserve">p. 6458, Sec. IV-D</t>
  </si>
  <si>
    <t xml:space="preserve">For consistency, we utilize a set of reasonable hyperparameters for the baseline and classifier according to their papers or codes, as detailed in Tables III and IV.</t>
  </si>
  <si>
    <t xml:space="preserve">p. 6458, Sec. IV-D, Tables III-IV</t>
  </si>
  <si>
    <t xml:space="preserve">accuracy_misleading, minority_focus, other</t>
  </si>
  <si>
    <t xml:space="preserve">By combining these three metrics, we aim to jointly assess both the imbalance-handling ability (via F1 and MCC) and the impact on majority class boundaries (via Accuracy).</t>
  </si>
  <si>
    <t xml:space="preserve">p. 6456-6457, Sec. IV-B</t>
  </si>
  <si>
    <t xml:space="preserve">p. 6460-6461, Sec. IV-F, Tables VIII-IX</t>
  </si>
  <si>
    <t xml:space="preserve">projection_visualization | t-SNE plots of raw data vs the MLVAE latent embeddings (3 artificial sets and 'shoppers') to show reduced class overlap in the latent space; no synthetic samples are plotted and no quantitative fidelity measure is given</t>
  </si>
  <si>
    <t xml:space="preserve">p. 6457, Fig. 2; p. 6461, Sec. IV-G</t>
  </si>
  <si>
    <t xml:space="preserve">MC-NCLWO-2025</t>
  </si>
  <si>
    <t xml:space="preserve">MC-NCLWO</t>
  </si>
  <si>
    <t xml:space="preserve">difficulty_factors, varied_characteristics</t>
  </si>
  <si>
    <t xml:space="preserve">These datasets have been verified by Sáez et al. [36], to exhibit various challenging characteristics, such as small disjunct sub-concepts, noisy data, and class overlap.</t>
  </si>
  <si>
    <t xml:space="preserve">p. 152628, Sec. V.A; p. 152630, Sec. V.E; p. 152634, Sec. VI</t>
  </si>
  <si>
    <t xml:space="preserve">p. 152628, Sec. V.A; p. 152629, Table 1; p. 152634, Sec. VI (noise injection)</t>
  </si>
  <si>
    <t xml:space="preserve">popular, diverse_paradigms, simplicity, sensitive_to_imbalance</t>
  </si>
  <si>
    <t xml:space="preserve">These classifiers were chosen for their simplicity, interpretability, and widespread use in imbalanced learning studies</t>
  </si>
  <si>
    <t xml:space="preserve">p. 152630, Sec. V.D</t>
  </si>
  <si>
    <t xml:space="preserve">selected: method parameters | criterion: AvAcc | data: not stated</t>
  </si>
  <si>
    <t xml:space="preserve">Based on the experimental results across multiple datasets, to ensure the algorithm’s stability and robustness, we set 2 as the default of decay factor α for subsequent experiments.</t>
  </si>
  <si>
    <t xml:space="preserve">pp. 152630-152631, Sec. V.E, Fig. 9</t>
  </si>
  <si>
    <t xml:space="preserve">accuracy_misleading, multiclass_suitability, standard_in_literature, minority_focus</t>
  </si>
  <si>
    <t xml:space="preserve">In the context of imbalanced data, the Accuracy metric is not suitable because it tends to favor the majority class.</t>
  </si>
  <si>
    <t xml:space="preserve">p. 152629, Sec. V.B</t>
  </si>
  <si>
    <t xml:space="preserve">Garcia et al. 2010</t>
  </si>
  <si>
    <t xml:space="preserve">p. 152629, Sec. V.B; p. 152633, Table 2</t>
  </si>
  <si>
    <t xml:space="preserve">toy_2d_visualization, complexity_analysis | Fig. 8 plots a 2-D toy multi-class dataset with small disjuncts before and after MC-NCLWO sampling (Fig. 1 shows the toy set with 20% Gaussian feature noise); Sec. IV.C derives worst-case complexity O(c n^2 (log n + m))</t>
  </si>
  <si>
    <t xml:space="preserve">p. 152628, Fig. 8; p. 152623, Fig. 1; pp. 152627-152628, Sec. IV.C</t>
  </si>
  <si>
    <t xml:space="preserve">MLOS-2025</t>
  </si>
  <si>
    <t xml:space="preserve">MLOS</t>
  </si>
  <si>
    <t xml:space="preserve">imbalance_level, difficulty_factors</t>
  </si>
  <si>
    <t xml:space="preserve">each with an imbalanced rate greater than 10 and a high overlap rate (more than 30%), for comparative experiments</t>
  </si>
  <si>
    <t xml:space="preserve">p. 8, Sec. 4 and Sec. 4.1; p. 9, Table 1 (IR and R-value per data set)</t>
  </si>
  <si>
    <t xml:space="preserve">p. 8, Sec. 4 and footnotes 1-2 (PROMISE and UCI URLs); p. 9, Table 1 ('Source' column)</t>
  </si>
  <si>
    <t xml:space="preserve">selected: method parameters | criterion: AUC, G-mean, Sensitivity/Recall | data: evaluation data</t>
  </si>
  <si>
    <t xml:space="preserve">Since MLOS achieves the optimal performance at α = 0.4, this study sets α to 0.4.</t>
  </si>
  <si>
    <t xml:space="preserve">pp. 9-10, Sec. 4.4, Fig. 6, Table 4</t>
  </si>
  <si>
    <t xml:space="preserve">accuracy_misleading, standard_in_literature, other, other</t>
  </si>
  <si>
    <t xml:space="preserve">when dealing with imbalanced data, Accuracy often fails to reflect the true performance of the classifier (Kubat &amp; Matwin, 2000).</t>
  </si>
  <si>
    <t xml:space="preserve">pp. 8-9, Sec. 4.2</t>
  </si>
  <si>
    <t xml:space="preserve">Benavoli et al. 2017; Kruschke &amp; Liddell 2018</t>
  </si>
  <si>
    <t xml:space="preserve">p. 8, Sec. 4; pp. 11-12, Sec. 4.7; p. 12, Fig. 7; p. 15, Figs. 8-9</t>
  </si>
  <si>
    <t xml:space="preserve">toy_2d_visualization | Sec. 3.5 case study: Fig. 5 shows a 2-D scikit-learn synthetic set (560 majority, 35 minority) resampled by MLOS and 13 other samplers with the SVM decision surface; Figs. 1-4 are schematic 2-D illustrations</t>
  </si>
  <si>
    <t xml:space="preserve">p. 6, Sec. 3.5; p. 8, Fig. 5</t>
  </si>
  <si>
    <t xml:space="preserve">DGOT-2026</t>
  </si>
  <si>
    <t xml:space="preserve">DGOT</t>
  </si>
  <si>
    <t xml:space="preserve">We conducted experiments on four representative datasets, comprising two binary classification datasets and two multi-classification datasets, covering both low and high IR cases.</t>
  </si>
  <si>
    <t xml:space="preserve">p. 994, Sec. IV-G (ablation subset only)</t>
  </si>
  <si>
    <t xml:space="preserve">p. 989, Sec. IV-A; p. 990, Table I; p. 995, Ref. [45] (UCI URL)</t>
  </si>
  <si>
    <t xml:space="preserve">This selection encompasses a diverse set of classifiers, including ensemble, distance-based, tree-based, and regression-based models, providing a multifaceted evaluation of the resampling algorithms’ performance</t>
  </si>
  <si>
    <t xml:space="preserve">p. 991, Sec. IV-D</t>
  </si>
  <si>
    <t xml:space="preserve">To ensure fairness in the comparison experiments, we adopt the same set of hyperparameters across all experiments for our method.</t>
  </si>
  <si>
    <t xml:space="preserve">p. 991, Sec. IV-D; p. 994, Sec. IV-H, Table X (sensitivity on coil_2000)</t>
  </si>
  <si>
    <t xml:space="preserve">Although widely employed, classification accuracy alone may lack comprehensiveness in evaluating model performance, especially in imbalanced datasets.</t>
  </si>
  <si>
    <t xml:space="preserve">p. 990, Sec. IV-B</t>
  </si>
  <si>
    <t xml:space="preserve">p. 993, Sec. IV-F, Tables VII-VIII</t>
  </si>
  <si>
    <t xml:space="preserve">Loyalty-SMOTE-2026</t>
  </si>
  <si>
    <t xml:space="preserve">Loyalty-SMOTE</t>
  </si>
  <si>
    <t xml:space="preserve">comparability, varied_characteristics, multiclass_availability</t>
  </si>
  <si>
    <t xml:space="preserve">To evaluate the performance of the Loyalty-SMOTE algorithm, this paper uses four groups of commonly used imbalanced datasets.</t>
  </si>
  <si>
    <t xml:space="preserve">p. 7, Sec. 4.1, Table 1; p. 12, Secs. 4.4.4-4.4.5</t>
  </si>
  <si>
    <t xml:space="preserve">p. 7, Sec. 4.1, Table 1; p. 8, Tables 2-6</t>
  </si>
  <si>
    <t xml:space="preserve">Table 8 provides the specific parameter configurations for all algorithms involved in the experiments.</t>
  </si>
  <si>
    <t xml:space="preserve">p. 9, Table 8; p. 10, Sec. 4.3; pp. 10-11, Sec. 4.4.2, Figs. 8-9</t>
  </si>
  <si>
    <t xml:space="preserve">minority_focus, standard_in_literature, other</t>
  </si>
  <si>
    <t xml:space="preserve">G-mean is a commonly used metric for evaluating the performance of classifiers on imbalanced datasets.</t>
  </si>
  <si>
    <t xml:space="preserve">complexity_analysis | Sec. 3.4 derives the time complexity of Loyalty-SMOTE and Table 13 compares big-O complexities of all six samplers. Fig. 11 shows PCA plots of four original (not resampled) data sets, used to explain where the method works; not coded as projection_visualization.</t>
  </si>
  <si>
    <t xml:space="preserve">p. 7, Sec. 3.4; p. 12, Table 13; p. 15, Sec. 5, Fig. 11</t>
  </si>
  <si>
    <t xml:space="preserve">QC-SMOTE-2026</t>
  </si>
  <si>
    <t xml:space="preserve">QC-SMOTE</t>
  </si>
  <si>
    <t xml:space="preserve">follows_prior_work, comparability, varied_characteristics</t>
  </si>
  <si>
    <t xml:space="preserve">Using this benchmark allows direct comparison against a recent space-quality-aware SMOTE variant while preserving the same dataset identifiers, D1–D30, used in the published result tables.</t>
  </si>
  <si>
    <t xml:space="preserve">p. 8, Sec. 4.1, Table 1</t>
  </si>
  <si>
    <t xml:space="preserve">fair_comparison, follows_prior_work | follows Qiu et al. 2025 (VS-SMOTE benchmark)</t>
  </si>
  <si>
    <t xml:space="preserve">To maintain comparability with the VS-SMOTE benchmark, we retain the published CatBoost baselines</t>
  </si>
  <si>
    <t xml:space="preserve">p. 8, Sec. 4.3</t>
  </si>
  <si>
    <t xml:space="preserve">selected: method parameters | criterion: AUC, F1 | data: not stated</t>
  </si>
  <si>
    <t xml:space="preserve">an overshoot factor of 1.25, and a purity threshold of 0.3. These values correspond to the default configuration used in the main experiments.</t>
  </si>
  <si>
    <t xml:space="preserve">p. 10, Sec. 4.5.3, Table 5</t>
  </si>
  <si>
    <t xml:space="preserve">accuracy_misleading, other, other</t>
  </si>
  <si>
    <t xml:space="preserve">Macro F1 captures class-balanced predictive performance and is therefore appropriate for imbalanced settings where both minority and majority classes should contribute to the final score.</t>
  </si>
  <si>
    <t xml:space="preserve">p. 8, Sec. 4.2; p. 1, Sec. 1</t>
  </si>
  <si>
    <t xml:space="preserve">p. 10, Sec. 4.5.4, Table 6</t>
  </si>
  <si>
    <t xml:space="preserve">complexity_analysis | Sec. 3.8 derives the big-O cost of neighbour search and candidate evaluation; no analysis of the synthetic samples themselves beyond classifier scores (Fig. 2 is a schematic)</t>
  </si>
  <si>
    <t xml:space="preserve">p. 7, Sec. 3.8</t>
  </si>
  <si>
    <t xml:space="preserve">OpenAlex ID</t>
  </si>
  <si>
    <t xml:space="preserve">DOI</t>
  </si>
  <si>
    <t xml:space="preserve">citations</t>
  </si>
  <si>
    <t xml:space="preserve">per year</t>
  </si>
  <si>
    <t xml:space="preserve">match</t>
  </si>
  <si>
    <t xml:space="preserve">eligible for ratios</t>
  </si>
  <si>
    <t xml:space="preserve">note</t>
  </si>
  <si>
    <t xml:space="preserve">ENN-1972</t>
  </si>
  <si>
    <t xml:space="preserve">Wilson ENN</t>
  </si>
  <si>
    <t xml:space="preserve">W2107686700</t>
  </si>
  <si>
    <t xml:space="preserve">10.1109/tsmc.1972.4309137</t>
  </si>
  <si>
    <t xml:space="preserve">exact</t>
  </si>
  <si>
    <t xml:space="preserve">no</t>
  </si>
  <si>
    <t xml:space="preserve">TomekLinks-1976</t>
  </si>
  <si>
    <t xml:space="preserve">Tomek links</t>
  </si>
  <si>
    <t xml:space="preserve">W1591261915</t>
  </si>
  <si>
    <t xml:space="preserve">10.1109/tsmc.1976.4309452</t>
  </si>
  <si>
    <t xml:space="preserve">Re-verified 2026-10-18 via batch filter=openalex:...; count unchanged.</t>
  </si>
  <si>
    <t xml:space="preserve">AdaBoost-1997</t>
  </si>
  <si>
    <t xml:space="preserve">AdaBoost</t>
  </si>
  <si>
    <t xml:space="preserve">W1988790447</t>
  </si>
  <si>
    <t xml:space="preserve">10.1006/jcss.1997.1504</t>
  </si>
  <si>
    <t xml:space="preserve">JCSS journal version chosen. Alt is the EuroCOLT 1995 conference version (10.1007/3-540-59119-2_166; title misspelled in OpenAlex). Re-verified by batch filter=openalex call on 2026-10-18: count unchanged.</t>
  </si>
  <si>
    <t xml:space="preserve">W85350352</t>
  </si>
  <si>
    <t xml:space="preserve">yes</t>
  </si>
  <si>
    <t xml:space="preserve">OpenAlex splits this paper over two records (one with a misspelled title); the two counts are added.</t>
  </si>
  <si>
    <t xml:space="preserve">W1588282782</t>
  </si>
  <si>
    <t xml:space="preserve">10.1023/a:1007452223027</t>
  </si>
  <si>
    <t xml:space="preserve">Full-title search was refused (HTTP 429); found with fallback query (short title + Kubat). Re-verified by batch filter=openalex call on 2026-10-18: count unchanged.</t>
  </si>
  <si>
    <t xml:space="preserve">W2148143831</t>
  </si>
  <si>
    <t xml:space="preserve">10.1613/jair.953</t>
  </si>
  <si>
    <t xml:space="preserve">W1563938718</t>
  </si>
  <si>
    <t xml:space="preserve">10.1007/978-3-540-39804-2_12</t>
  </si>
  <si>
    <t xml:space="preserve">W1993220166</t>
  </si>
  <si>
    <t xml:space="preserve">10.1145/1007730.1007735</t>
  </si>
  <si>
    <t xml:space="preserve">W2132791018</t>
  </si>
  <si>
    <t xml:space="preserve">10.1007/11538059_91</t>
  </si>
  <si>
    <t xml:space="preserve">Re-verified by batch filter=openalex call on 2026-10-18: count unchanged.</t>
  </si>
  <si>
    <t xml:space="preserve">W2126996952</t>
  </si>
  <si>
    <t xml:space="preserve">10.1109/grc.2006.1635905</t>
  </si>
  <si>
    <t xml:space="preserve">IEEE GrC 2006 (input venue was null). Re-verified 2026-10-18 via batch filter=openalex:...; count unchanged.</t>
  </si>
  <si>
    <t xml:space="preserve">uncertain</t>
  </si>
  <si>
    <t xml:space="preserve">The AAAI 2006 paper has no OpenAlex record; the only match is the 2010 journal version, which is a separate corpus entry. Excluded from citation analysis.</t>
  </si>
  <si>
    <t xml:space="preserve">W2151779862</t>
  </si>
  <si>
    <t xml:space="preserve">10.1145/1281192.1281279</t>
  </si>
  <si>
    <t xml:space="preserve">KDD 2007 version chosen to match venue; alt is the extended journal version (Data Min. Knowl. Discov. 2010, DOI 10.1007/s10618-009-0146-1) with a slightly different title.</t>
  </si>
  <si>
    <t xml:space="preserve">W2104933073</t>
  </si>
  <si>
    <t xml:space="preserve">10.1109/ijcnn.2008.4633969</t>
  </si>
  <si>
    <t xml:space="preserve">Full-title search was refused (HTTP 429) and the shorter fallback search did not surface it; found via filter=title.search:ADASYN, year 2007-2009 (only 1 hit). Re-verified 2026-10-18 via batch filter=openalex:...; count unchanged.</t>
  </si>
  <si>
    <t xml:space="preserve">W2117689108</t>
  </si>
  <si>
    <t xml:space="preserve">10.1109/icdm.2008.87</t>
  </si>
  <si>
    <t xml:space="preserve">Full-title search was refused (HTTP 429) and the fallback search (title words + Cieslak) returned no match; found with filter=title.search. Re-verified by batch filter=openalex call on 2026-10-18: count unchanged.</t>
  </si>
  <si>
    <t xml:space="preserve">W2104167780</t>
  </si>
  <si>
    <t xml:space="preserve">10.1109/tsmcb.2008.2007853</t>
  </si>
  <si>
    <t xml:space="preserve">OpenAlex year 2008 (online-first) vs input 2009 (print issue). Re-verified 2026-10-18 via batch filter=openalex:...; count unchanged.</t>
  </si>
  <si>
    <t xml:space="preserve">W2128965734</t>
  </si>
  <si>
    <t xml:space="preserve">10.1016/j.eswa.2008.06.108</t>
  </si>
  <si>
    <t xml:space="preserve">Full-title search was refused (HTTP 429) and the fallback search (title + Yen) returned no match; resolved by DOI lookup (works/doi:...), title matches exactly. OpenAlex year 2008 (online first), print 2009. Re-verified by batch filter=openalex call on 2026-10-18: count unchanged.</t>
  </si>
  <si>
    <t xml:space="preserve">W1496056137</t>
  </si>
  <si>
    <t xml:space="preserve">10.1007/978-3-642-01307-2_43</t>
  </si>
  <si>
    <t xml:space="preserve">Found via shortened title query (full-title query returned a fetch error).</t>
  </si>
  <si>
    <t xml:space="preserve">W72187777</t>
  </si>
  <si>
    <t xml:space="preserve">10.1111/j.1467-8640.2010.00358.x</t>
  </si>
  <si>
    <t xml:space="preserve">Computational Intelligence journal version. The AAAI 2006 conference paper of the same title did not appear in the top 5 and was not looked up separately. Re-verified 2026-10-18 via batch filter=openalex:...; count unchanged.</t>
  </si>
  <si>
    <t xml:space="preserve">W2096235960</t>
  </si>
  <si>
    <t xml:space="preserve">10.1109/tnn.2010.2066988</t>
  </si>
  <si>
    <t xml:space="preserve">W2096945460</t>
  </si>
  <si>
    <t xml:space="preserve">10.1109/tsmca.2009.2029559</t>
  </si>
  <si>
    <t xml:space="preserve">OpenAlex year 2009 (online-first) vs input 2010 (print issue). The 2008 ICPR precursor has a different title and was not looked up. Re-verified 2026-10-18 via batch filter=openalex:...; count unchanged.</t>
  </si>
  <si>
    <t xml:space="preserve">W1592804209</t>
  </si>
  <si>
    <t xml:space="preserve">10.1007/978-3-642-13529-3_18</t>
  </si>
  <si>
    <t xml:space="preserve">W2124710650</t>
  </si>
  <si>
    <t xml:space="preserve">10.1016/j.patcog.2011.02.019</t>
  </si>
  <si>
    <t xml:space="preserve">W2015681982</t>
  </si>
  <si>
    <t xml:space="preserve">10.1109/tkde.2013.37</t>
  </si>
  <si>
    <t xml:space="preserve">W2164341120</t>
  </si>
  <si>
    <t xml:space="preserve">10.1016/j.knosys.2013.01.018</t>
  </si>
  <si>
    <t xml:space="preserve">Full-title search URL was too long; the shortened search was refused (HTTP 429); resolved by DOI lookup (works/doi:...), title matches exactly. Re-verified by batch filter=openalex call on 2026-10-18: count unchanged.</t>
  </si>
  <si>
    <t xml:space="preserve">W2087240369</t>
  </si>
  <si>
    <t xml:space="preserve">10.1109/tkde.2012.232</t>
  </si>
  <si>
    <t xml:space="preserve">close</t>
  </si>
  <si>
    <t xml:space="preserve">Same paper (IEEE TKDE DOI tkde.2012.232); OpenAlex year 2012 is the early-access date, print issue is TKDE 26(2), 2014, so the year differs by 2 from input.</t>
  </si>
  <si>
    <t xml:space="preserve">W2076272581</t>
  </si>
  <si>
    <t xml:space="preserve">10.1109/tkde.2014.2324567</t>
  </si>
  <si>
    <t xml:space="preserve">Full-title and fallback searches were refused (HTTP 429); found via filter=title.search:wRACOG. OpenAlex year 2014 (online-first) vs input 2015. Alt is the ICDM 2013 precursor (different title, DOI 10.1109/icdm.2013.18), listed for reference only. Re-verified 2026-10-18 via batch filter=openalex:...</t>
  </si>
  <si>
    <t xml:space="preserve">W769353746</t>
  </si>
  <si>
    <t xml:space="preserve">10.1016/j.knosys.2015.04.022</t>
  </si>
  <si>
    <t xml:space="preserve">W2294246171</t>
  </si>
  <si>
    <t xml:space="preserve">10.5220/0005595502260234</t>
  </si>
  <si>
    <t xml:space="preserve">SCITEPRESS DOI (KDIR 2015); input venue was null. Re-verified 2026-10-18 via batch filter=openalex:...; count unchanged.</t>
  </si>
  <si>
    <t xml:space="preserve">W2107138773</t>
  </si>
  <si>
    <t xml:space="preserve">10.1016/j.ins.2014.08.051</t>
  </si>
  <si>
    <t xml:space="preserve">OpenAlex year 2014 (online first); Information Sciences 291 (2015). A separate precursor paper (IDEAL 2014, 'Managing Borderline and Noisy Examples ... SMOTE with Ensemble Filtering', W10885063, 25 cites) is a different work, not listed as a version.</t>
  </si>
  <si>
    <t xml:space="preserve">W2091007025</t>
  </si>
  <si>
    <t xml:space="preserve">10.1016/j.patcog.2014.11.014</t>
  </si>
  <si>
    <t xml:space="preserve">OpenAlex year 2014 (online-first) vs input 2015; Pattern Recognition DOI. Re-verified 2026-10-18 via batch filter=openalex:...; count unchanged.</t>
  </si>
  <si>
    <t xml:space="preserve">W2172165257</t>
  </si>
  <si>
    <t xml:space="preserve">The PDF in the corpus is the dissertation chapter (0 citations in OpenAlex); the method is cited through its Expert Systems with Applications article, which is used.</t>
  </si>
  <si>
    <t xml:space="preserve">W2476542064</t>
  </si>
  <si>
    <t xml:space="preserve">10.1145/2983323.2983789</t>
  </si>
  <si>
    <t xml:space="preserve">CIKM 2016 version chosen (ACM DOI); OpenAlex display_name is truncated to 'CGMOS'. arXiv 1607.06525 preprint listed as alt. Re-verified 2026-10-18 via batch filter=openalex:...; count unchanged.</t>
  </si>
  <si>
    <t xml:space="preserve">W2185967890</t>
  </si>
  <si>
    <t xml:space="preserve">10.1109/tkde.2015.2458858</t>
  </si>
  <si>
    <t xml:space="preserve">OpenAlex year 2015 (early access); IEEE TKDE 28(1), 2016. A different 2014 paper by the same authors (Soft Computing, '...over-sampling and boosting techniques', W2027347092, 45 cites) is not a version.</t>
  </si>
  <si>
    <t xml:space="preserve">W2736435690</t>
  </si>
  <si>
    <t xml:space="preserve">10.1016/j.patcog.2017.07.024</t>
  </si>
  <si>
    <t xml:space="preserve">Full-title search was refused (HTTP 429) and the fallback search missed it; found via filter=title.search:multiclass imbalance problems, year 2017 (only 1 hit). Re-verified 2026-10-18 via batch filter=openalex:...; count unchanged.</t>
  </si>
  <si>
    <t xml:space="preserve">W2763110968</t>
  </si>
  <si>
    <t xml:space="preserve">10.1109/tkde.2017.2761347</t>
  </si>
  <si>
    <t xml:space="preserve">OpenAlex year 2017 (early access), issue 2018. Re-verified by batch filter=openalex call on 2026-10-18: count unchanged.</t>
  </si>
  <si>
    <t xml:space="preserve">W2766296277</t>
  </si>
  <si>
    <t xml:space="preserve">10.1016/j.ins.2018.06.056</t>
  </si>
  <si>
    <t xml:space="preserve">The 2017 arXiv preprint has a different title and was not looked up. Re-verified 2026-10-18 via batch filter=openalex:...; count unchanged.</t>
  </si>
  <si>
    <t xml:space="preserve">W2900321945</t>
  </si>
  <si>
    <t xml:space="preserve">10.1007/978-3-030-03493-1_72</t>
  </si>
  <si>
    <t xml:space="preserve">W2767106145</t>
  </si>
  <si>
    <t xml:space="preserve">10.1016/j.neunet.2018.07.011</t>
  </si>
  <si>
    <t xml:space="preserve">No separate arXiv version appeared in the top search results. Re-verified by batch filter=openalex call on 2026-10-18: count unchanged.</t>
  </si>
  <si>
    <t xml:space="preserve">W2954395498</t>
  </si>
  <si>
    <t xml:space="preserve">10.48550/arxiv.1907.00503</t>
  </si>
  <si>
    <t xml:space="preserve">Only the arXiv preprint record exists in OpenAlex; no separate NeurIPS 2019 proceedings record was found (also checked with filter=title.search, years 2019-2020). Count likely understates citations to the NeurIPS version. Re-verified 2026-10-18 via batch filter=openalex:...; count unchanged.</t>
  </si>
  <si>
    <t xml:space="preserve">W2948219206</t>
  </si>
  <si>
    <t xml:space="preserve">10.1016/j.ins.2019.06.007</t>
  </si>
  <si>
    <t xml:space="preserve">W2924282518</t>
  </si>
  <si>
    <t xml:space="preserve">10.1109/iccv.2019.00178</t>
  </si>
  <si>
    <t xml:space="preserve">W2914361121</t>
  </si>
  <si>
    <t xml:space="preserve">10.1016/j.neucom.2018.04.089</t>
  </si>
  <si>
    <t xml:space="preserve">Full-title, fallback and DOI lookups were refused (HTTP 429) or returned no match; found with filter=title.search. Related earlier conference paper with a different title: W2617368871 'Radial-Based Approach to Imbalanced Data Oversampling' (HAIS 2017, 28 cites), not counted as a version. Re-verified</t>
  </si>
  <si>
    <t xml:space="preserve">W2998823736</t>
  </si>
  <si>
    <t xml:space="preserve">10.2478/amcs-2019-0057</t>
  </si>
  <si>
    <t xml:space="preserve">W3015143107</t>
  </si>
  <si>
    <t xml:space="preserve">10.18178/ijmlc.2020.10.1.894</t>
  </si>
  <si>
    <t xml:space="preserve">W2913816472</t>
  </si>
  <si>
    <t xml:space="preserve">10.1109/tkde.2019.2894148</t>
  </si>
  <si>
    <t xml:space="preserve">OpenAlex year 2019 (online-first) vs input 2020. Re-verified 2026-10-18 via batch filter=openalex:...; count unchanged.</t>
  </si>
  <si>
    <t xml:space="preserve">W2922054794</t>
  </si>
  <si>
    <t xml:space="preserve">10.1109/tkde.2019.2905559</t>
  </si>
  <si>
    <t xml:space="preserve">Full-title search was refused (HTTP 429); found with filter=title.search. OpenAlex year 2019 (early access), issue 2020. A different work with the same title exists (W4206062307, IJRTE 2020, 10.35940/ijrte.f7545.038620, 3 cites); not this paper. Re-verified by batch filter=openalex call on 2026-10-1</t>
  </si>
  <si>
    <t xml:space="preserve">W3015358651</t>
  </si>
  <si>
    <t xml:space="preserve">10.1016/j.knosys.2020.106223</t>
  </si>
  <si>
    <t xml:space="preserve">W2952448206</t>
  </si>
  <si>
    <t xml:space="preserve">10.1109/tnnls.2019.2913673</t>
  </si>
  <si>
    <t xml:space="preserve">OpenAlex year 2019 (early access), issue 2020. Re-verified by batch filter=openalex call on 2026-10-18: count unchanged.</t>
  </si>
  <si>
    <t xml:space="preserve">W2971749073</t>
  </si>
  <si>
    <t xml:space="preserve">10.1016/j.ins.2019.08.062</t>
  </si>
  <si>
    <t xml:space="preserve">W3031232306</t>
  </si>
  <si>
    <t xml:space="preserve">10.1109/icde48307.2020.00078</t>
  </si>
  <si>
    <t xml:space="preserve">W3204058295</t>
  </si>
  <si>
    <t xml:space="preserve">10.3390/s21196616</t>
  </si>
  <si>
    <t xml:space="preserve">Found via retry query (title words + 'Yao') because the full-title query was rate-limited.</t>
  </si>
  <si>
    <t xml:space="preserve">W3111875476</t>
  </si>
  <si>
    <t xml:space="preserve">10.1016/j.ins.2020.12.023</t>
  </si>
  <si>
    <t xml:space="preserve">OpenAlex year 2020 (online first), issue 2021. Re-verified by batch filter=openalex call on 2026-10-18: count unchanged.</t>
  </si>
  <si>
    <t xml:space="preserve">PradiptaReview-2021</t>
  </si>
  <si>
    <t xml:space="preserve">Pradipta et al.</t>
  </si>
  <si>
    <t xml:space="preserve">W4200494353</t>
  </si>
  <si>
    <t xml:space="preserve">10.1109/icic54025.2021.9632912</t>
  </si>
  <si>
    <t xml:space="preserve">IEEE ICIC 2021 proceedings (DOI icic54025.2021).</t>
  </si>
  <si>
    <t xml:space="preserve">W3093212523</t>
  </si>
  <si>
    <t xml:space="preserve">10.1016/j.ins.2020.10.013</t>
  </si>
  <si>
    <t xml:space="preserve">OpenAlex year 2020 (online first); Information Sciences 553 (2021).</t>
  </si>
  <si>
    <t xml:space="preserve">W4313017257</t>
  </si>
  <si>
    <t xml:space="preserve">10.1109/access.2022.3218463</t>
  </si>
  <si>
    <t xml:space="preserve">W4200472276</t>
  </si>
  <si>
    <t xml:space="preserve">10.1016/j.patcog.2021.108511</t>
  </si>
  <si>
    <t xml:space="preserve">OpenAlex year 2021 (online first); Pattern Recognition 124 (2022). Found in results of the SVDDWSMOTE query because the FW-SMOTE full-title query was rate-limited.</t>
  </si>
  <si>
    <t xml:space="preserve">W3015967287</t>
  </si>
  <si>
    <t xml:space="preserve">10.1109/tkde.2020.2985965</t>
  </si>
  <si>
    <t xml:space="preserve">Exact title and TKDE DOI, but OpenAlex year 2020 (early access) is 2 years from the input year 2022 (issue year); same paper. Re-verified by batch filter=openalex call on 2026-10-18: count unchanged.</t>
  </si>
  <si>
    <t xml:space="preserve">W4200122681</t>
  </si>
  <si>
    <t xml:space="preserve">10.1016/j.asoc.2021.108288</t>
  </si>
  <si>
    <t xml:space="preserve">OpenAlex year 2021 (online-first) vs input 2022. Re-verified 2026-10-18 via batch filter=openalex:...; count unchanged.</t>
  </si>
  <si>
    <t xml:space="preserve">W4319778623</t>
  </si>
  <si>
    <t xml:space="preserve">10.1109/dsaa54385.2022.10032369</t>
  </si>
  <si>
    <t xml:space="preserve">Venue per OpenAlex/DOI: IEEE DSAA 2022 (input venue was null). Full-title search was refused (HTTP 429) and the fallback search returned no match; found with filter=title.search (1 match). Re-verified by batch filter=openalex call on 2026-10-18: count unchanged.</t>
  </si>
  <si>
    <t xml:space="preserve">W4290876805</t>
  </si>
  <si>
    <t xml:space="preserve">10.1145/3534678.3539454</t>
  </si>
  <si>
    <t xml:space="preserve">KDD 2022 version chosen (ACM DOI); OpenAlex display_name is truncated to 'SOS'. arXiv 2206.08555 preprint listed as alt. Re-verified 2026-10-18 via batch filter=openalex:...; count unchanged.</t>
  </si>
  <si>
    <t xml:space="preserve">W4200464085</t>
  </si>
  <si>
    <t xml:space="preserve">10.1016/j.ins.2021.12.066</t>
  </si>
  <si>
    <t xml:space="preserve">OpenAlex year 2021 (online first); Information Sciences 2022.</t>
  </si>
  <si>
    <t xml:space="preserve">StopOversampling-2022</t>
  </si>
  <si>
    <t xml:space="preserve">Hassanat et al.</t>
  </si>
  <si>
    <t xml:space="preserve">W4226084339</t>
  </si>
  <si>
    <t xml:space="preserve">10.21203/rs.3.rs-1336037/v1</t>
  </si>
  <si>
    <t xml:space="preserve">The published IEEE Access version is used instead of the Research Square preprint.</t>
  </si>
  <si>
    <t xml:space="preserve">W4312106179</t>
  </si>
  <si>
    <t xml:space="preserve">10.1007/s13042-022-01746-w</t>
  </si>
  <si>
    <t xml:space="preserve">OpenAlex year 2022 (online first); IJMLC 2023.</t>
  </si>
  <si>
    <t xml:space="preserve">W4296311910</t>
  </si>
  <si>
    <t xml:space="preserve">10.1016/j.patcog.2022.109008</t>
  </si>
  <si>
    <t xml:space="preserve">OpenAlex year 2022 (online first); Pattern Recognition 133 (2023).</t>
  </si>
  <si>
    <t xml:space="preserve">W4285140661</t>
  </si>
  <si>
    <t xml:space="preserve">10.1109/tkde.2022.3171706</t>
  </si>
  <si>
    <t xml:space="preserve">OpenAlex year 2022 (early access), issue 2023. Re-verified by batch filter=openalex call on 2026-10-18: count unchanged.</t>
  </si>
  <si>
    <t xml:space="preserve">W4388817724</t>
  </si>
  <si>
    <t xml:space="preserve">10.1007/s10994-023-06416-8</t>
  </si>
  <si>
    <t xml:space="preserve">Searched with shortened title + Naglik (full-title URL would exceed the fetch length limit). OpenAlex year 2023 (online first), issue 2024. Re-verified by batch filter=openalex call on 2026-10-18: count unchanged.</t>
  </si>
  <si>
    <t xml:space="preserve">W4388599766</t>
  </si>
  <si>
    <t xml:space="preserve">10.1016/j.eswa.2023.122565</t>
  </si>
  <si>
    <t xml:space="preserve">OpenAlex year 2023 (online first); ESWA 2024. Alt is the SSRN preprint (10.2139/ssrn.4274380).</t>
  </si>
  <si>
    <t xml:space="preserve">W4405718128</t>
  </si>
  <si>
    <t xml:space="preserve">10.1109/access.2024.3521120</t>
  </si>
  <si>
    <t xml:space="preserve">W4406883410</t>
  </si>
  <si>
    <t xml:space="preserve">10.48550/arxiv.2501.15790</t>
  </si>
  <si>
    <t xml:space="preserve">Full-title search and title filter were refused (HTTP 429); found via fallback search 'certified interpolation oversampling Yadav'. arXiv DOI matches the input venue (2501.15790). Re-verified 2026-10-18 via batch filter=openalex:...; count unchanged.</t>
  </si>
  <si>
    <t xml:space="preserve">W4408997830</t>
  </si>
  <si>
    <t xml:space="preserve">10.1016/j.neucom.2025.130088</t>
  </si>
  <si>
    <t xml:space="preserve">W4414110570</t>
  </si>
  <si>
    <t xml:space="preserve">10.1109/tkde.2025.3608246</t>
  </si>
  <si>
    <t xml:space="preserve">Full-title search was refused (HTTP 429); found via filter=title.search:GOIO. Re-verified 2026-10-18 via batch filter=openalex:...; count unchanged.</t>
  </si>
  <si>
    <t xml:space="preserve">W4413822180</t>
  </si>
  <si>
    <t xml:space="preserve">10.1109/access.2025.3604051</t>
  </si>
  <si>
    <t xml:space="preserve">Full-title query (with 'MC-NCLWO') returned 0 results and the title+author retry missed; found with query 'Newton cooling law oversampling feature noise'. The binary predecessor NCLWO (Neurocomputing 2024, W4402197107, 20 cites) is a different paper, not a version.</t>
  </si>
  <si>
    <t xml:space="preserve">W4402738944</t>
  </si>
  <si>
    <t xml:space="preserve">10.1016/j.eswa.2024.125422</t>
  </si>
  <si>
    <t xml:space="preserve">Full-title search URL was too long for the fetch tool and the shortened search returned no match; found with filter=title.search. OpenAlex year 2024 (online first), issue 2025. Re-verified by batch filter=openalex call on 2026-10-18: count unchanged.</t>
  </si>
  <si>
    <t xml:space="preserve">W4416926020</t>
  </si>
  <si>
    <t xml:space="preserve">10.1109/tkde.2025.3639433</t>
  </si>
  <si>
    <t xml:space="preserve">OpenAlex year 2025 (early access); input year 2026.</t>
  </si>
  <si>
    <t xml:space="preserve">W7127314557</t>
  </si>
  <si>
    <t xml:space="preserve">10.1016/j.neunet.2026.108677</t>
  </si>
  <si>
    <t xml:space="preserve">W7165798645</t>
  </si>
  <si>
    <t xml:space="preserve">10.48550/arxiv.2606.24625</t>
  </si>
  <si>
    <t xml:space="preserve">Full-title search was refused (HTTP 429); found with filter=title.search (1 match). arXiv id matches the input venue. Re-verified by batch filter=openalex call on 2026-10-18: count unchanged.</t>
  </si>
  <si>
    <t xml:space="preserve">rows</t>
  </si>
  <si>
    <t xml:space="preserve">verified</t>
  </si>
  <si>
    <t xml:space="preserve">corrected</t>
  </si>
  <si>
    <t xml:space="preserve">wrong</t>
  </si>
  <si>
    <t xml:space="preserve">not yet checked</t>
  </si>
  <si>
    <t xml:space="preserve">total rows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</si>
</sst>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5FBF"/>
        <bgColor rgb="FF3366FF"/>
      </patternFill>
    </fill>
    <fill>
      <patternFill patternType="solid">
        <fgColor rgb="FFFFF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5F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1F5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48"/>
    <col collapsed="false" customWidth="true" hidden="false" outlineLevel="0" max="7" min="7" style="0" width="26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</row>
    <row r="2" customFormat="false" ht="35.05" hidden="false" customHeight="false" outlineLevel="0" collapsed="false">
      <c r="A2" s="2" t="s">
        <v>18</v>
      </c>
      <c r="B2" s="2" t="s">
        <v>19</v>
      </c>
      <c r="C2" s="2" t="n">
        <v>1997</v>
      </c>
      <c r="D2" s="2" t="s">
        <v>20</v>
      </c>
      <c r="E2" s="2" t="s">
        <v>21</v>
      </c>
      <c r="F2" s="2" t="s">
        <v>22</v>
      </c>
      <c r="G2" s="2" t="s">
        <v>23</v>
      </c>
      <c r="H2" s="2"/>
      <c r="I2" s="4"/>
      <c r="J2" s="4"/>
      <c r="K2" s="4"/>
    </row>
    <row r="3" customFormat="false" ht="23.85" hidden="false" customHeight="false" outlineLevel="0" collapsed="false">
      <c r="A3" s="2" t="s">
        <v>18</v>
      </c>
      <c r="B3" s="2" t="s">
        <v>19</v>
      </c>
      <c r="C3" s="2" t="n">
        <v>1997</v>
      </c>
      <c r="D3" s="2" t="s">
        <v>24</v>
      </c>
      <c r="E3" s="2" t="s">
        <v>25</v>
      </c>
      <c r="F3" s="2"/>
      <c r="G3" s="2" t="s">
        <v>26</v>
      </c>
      <c r="H3" s="2"/>
      <c r="I3" s="4"/>
      <c r="J3" s="4"/>
      <c r="K3" s="4"/>
    </row>
    <row r="4" customFormat="false" ht="23.85" hidden="false" customHeight="false" outlineLevel="0" collapsed="false">
      <c r="A4" s="2" t="s">
        <v>18</v>
      </c>
      <c r="B4" s="2" t="s">
        <v>19</v>
      </c>
      <c r="C4" s="2" t="n">
        <v>1997</v>
      </c>
      <c r="D4" s="2" t="s">
        <v>27</v>
      </c>
      <c r="E4" s="2" t="s">
        <v>28</v>
      </c>
      <c r="F4" s="2" t="s">
        <v>29</v>
      </c>
      <c r="G4" s="2" t="s">
        <v>30</v>
      </c>
      <c r="H4" s="2"/>
      <c r="I4" s="4"/>
      <c r="J4" s="4"/>
      <c r="K4" s="4"/>
    </row>
    <row r="5" customFormat="false" ht="23.85" hidden="false" customHeight="false" outlineLevel="0" collapsed="false">
      <c r="A5" s="2" t="s">
        <v>18</v>
      </c>
      <c r="B5" s="2" t="s">
        <v>19</v>
      </c>
      <c r="C5" s="2" t="n">
        <v>1997</v>
      </c>
      <c r="D5" s="2" t="s">
        <v>31</v>
      </c>
      <c r="E5" s="2" t="s">
        <v>32</v>
      </c>
      <c r="F5" s="2"/>
      <c r="G5" s="2"/>
      <c r="H5" s="2"/>
      <c r="I5" s="4"/>
      <c r="J5" s="4"/>
      <c r="K5" s="4"/>
    </row>
    <row r="6" customFormat="false" ht="35.05" hidden="false" customHeight="false" outlineLevel="0" collapsed="false">
      <c r="A6" s="2" t="s">
        <v>18</v>
      </c>
      <c r="B6" s="2" t="s">
        <v>19</v>
      </c>
      <c r="C6" s="2" t="n">
        <v>1997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4"/>
      <c r="J6" s="4"/>
      <c r="K6" s="4"/>
    </row>
    <row r="7" customFormat="false" ht="15" hidden="false" customHeight="false" outlineLevel="0" collapsed="false">
      <c r="A7" s="2" t="s">
        <v>18</v>
      </c>
      <c r="B7" s="2" t="s">
        <v>19</v>
      </c>
      <c r="C7" s="2" t="n">
        <v>1997</v>
      </c>
      <c r="D7" s="2" t="s">
        <v>37</v>
      </c>
      <c r="E7" s="2" t="s">
        <v>38</v>
      </c>
      <c r="F7" s="2"/>
      <c r="G7" s="2"/>
      <c r="H7" s="2"/>
      <c r="I7" s="4"/>
      <c r="J7" s="4"/>
      <c r="K7" s="4"/>
    </row>
    <row r="8" customFormat="false" ht="57.45" hidden="false" customHeight="false" outlineLevel="0" collapsed="false">
      <c r="A8" s="2" t="s">
        <v>18</v>
      </c>
      <c r="B8" s="2" t="s">
        <v>19</v>
      </c>
      <c r="C8" s="2" t="n">
        <v>1997</v>
      </c>
      <c r="D8" s="2" t="s">
        <v>39</v>
      </c>
      <c r="E8" s="2" t="s">
        <v>40</v>
      </c>
      <c r="F8" s="2"/>
      <c r="G8" s="2" t="s">
        <v>41</v>
      </c>
      <c r="H8" s="2"/>
      <c r="I8" s="4"/>
      <c r="J8" s="4"/>
      <c r="K8" s="4"/>
    </row>
    <row r="9" customFormat="false" ht="35.05" hidden="false" customHeight="false" outlineLevel="0" collapsed="false">
      <c r="A9" s="2" t="s">
        <v>42</v>
      </c>
      <c r="B9" s="2" t="s">
        <v>43</v>
      </c>
      <c r="C9" s="2" t="n">
        <v>1998</v>
      </c>
      <c r="D9" s="2" t="s">
        <v>20</v>
      </c>
      <c r="E9" s="2" t="s">
        <v>44</v>
      </c>
      <c r="F9" s="2" t="s">
        <v>45</v>
      </c>
      <c r="G9" s="2" t="s">
        <v>46</v>
      </c>
      <c r="H9" s="2" t="s">
        <v>47</v>
      </c>
      <c r="I9" s="4"/>
      <c r="J9" s="4"/>
      <c r="K9" s="4"/>
    </row>
    <row r="10" customFormat="false" ht="23.85" hidden="false" customHeight="false" outlineLevel="0" collapsed="false">
      <c r="A10" s="2" t="s">
        <v>42</v>
      </c>
      <c r="B10" s="2" t="s">
        <v>43</v>
      </c>
      <c r="C10" s="2" t="n">
        <v>1998</v>
      </c>
      <c r="D10" s="2" t="s">
        <v>24</v>
      </c>
      <c r="E10" s="2" t="s">
        <v>25</v>
      </c>
      <c r="F10" s="2"/>
      <c r="G10" s="2" t="s">
        <v>48</v>
      </c>
      <c r="H10" s="2" t="s">
        <v>47</v>
      </c>
      <c r="I10" s="4"/>
      <c r="J10" s="4"/>
      <c r="K10" s="4"/>
    </row>
    <row r="11" customFormat="false" ht="15" hidden="false" customHeight="false" outlineLevel="0" collapsed="false">
      <c r="A11" s="2" t="s">
        <v>42</v>
      </c>
      <c r="B11" s="2" t="s">
        <v>43</v>
      </c>
      <c r="C11" s="2" t="n">
        <v>1998</v>
      </c>
      <c r="D11" s="2" t="s">
        <v>27</v>
      </c>
      <c r="E11" s="2" t="s">
        <v>49</v>
      </c>
      <c r="F11" s="2"/>
      <c r="G11" s="2"/>
      <c r="H11" s="2" t="s">
        <v>47</v>
      </c>
      <c r="I11" s="4"/>
      <c r="J11" s="4"/>
      <c r="K11" s="4"/>
    </row>
    <row r="12" customFormat="false" ht="46.25" hidden="false" customHeight="false" outlineLevel="0" collapsed="false">
      <c r="A12" s="2" t="s">
        <v>42</v>
      </c>
      <c r="B12" s="2" t="s">
        <v>43</v>
      </c>
      <c r="C12" s="2" t="n">
        <v>1998</v>
      </c>
      <c r="D12" s="2" t="s">
        <v>31</v>
      </c>
      <c r="E12" s="2" t="s">
        <v>50</v>
      </c>
      <c r="F12" s="2" t="s">
        <v>51</v>
      </c>
      <c r="G12" s="2" t="s">
        <v>52</v>
      </c>
      <c r="H12" s="2" t="s">
        <v>47</v>
      </c>
      <c r="I12" s="4"/>
      <c r="J12" s="4"/>
      <c r="K12" s="4"/>
    </row>
    <row r="13" customFormat="false" ht="35.05" hidden="false" customHeight="false" outlineLevel="0" collapsed="false">
      <c r="A13" s="2" t="s">
        <v>42</v>
      </c>
      <c r="B13" s="2" t="s">
        <v>43</v>
      </c>
      <c r="C13" s="2" t="n">
        <v>1998</v>
      </c>
      <c r="D13" s="2" t="s">
        <v>33</v>
      </c>
      <c r="E13" s="2" t="s">
        <v>53</v>
      </c>
      <c r="F13" s="2" t="s">
        <v>54</v>
      </c>
      <c r="G13" s="2" t="s">
        <v>55</v>
      </c>
      <c r="H13" s="2" t="s">
        <v>47</v>
      </c>
      <c r="I13" s="4"/>
      <c r="J13" s="4"/>
      <c r="K13" s="4"/>
    </row>
    <row r="14" customFormat="false" ht="23.85" hidden="false" customHeight="false" outlineLevel="0" collapsed="false">
      <c r="A14" s="2" t="s">
        <v>42</v>
      </c>
      <c r="B14" s="2" t="s">
        <v>43</v>
      </c>
      <c r="C14" s="2" t="n">
        <v>1998</v>
      </c>
      <c r="D14" s="2" t="s">
        <v>37</v>
      </c>
      <c r="E14" s="2" t="s">
        <v>38</v>
      </c>
      <c r="F14" s="2"/>
      <c r="G14" s="2" t="s">
        <v>56</v>
      </c>
      <c r="H14" s="2" t="s">
        <v>47</v>
      </c>
      <c r="I14" s="4"/>
      <c r="J14" s="4"/>
      <c r="K14" s="4"/>
    </row>
    <row r="15" customFormat="false" ht="15" hidden="false" customHeight="false" outlineLevel="0" collapsed="false">
      <c r="A15" s="2" t="s">
        <v>42</v>
      </c>
      <c r="B15" s="2" t="s">
        <v>43</v>
      </c>
      <c r="C15" s="2" t="n">
        <v>1998</v>
      </c>
      <c r="D15" s="2" t="s">
        <v>39</v>
      </c>
      <c r="E15" s="2" t="s">
        <v>38</v>
      </c>
      <c r="F15" s="2"/>
      <c r="G15" s="2"/>
      <c r="H15" s="2" t="s">
        <v>47</v>
      </c>
      <c r="I15" s="4"/>
      <c r="J15" s="4"/>
      <c r="K15" s="4"/>
    </row>
    <row r="16" customFormat="false" ht="46.25" hidden="false" customHeight="false" outlineLevel="0" collapsed="false">
      <c r="A16" s="2" t="s">
        <v>42</v>
      </c>
      <c r="B16" s="2" t="s">
        <v>43</v>
      </c>
      <c r="C16" s="2" t="n">
        <v>1998</v>
      </c>
      <c r="D16" s="2" t="s">
        <v>57</v>
      </c>
      <c r="E16" s="2" t="s">
        <v>58</v>
      </c>
      <c r="F16" s="2" t="s">
        <v>51</v>
      </c>
      <c r="G16" s="2" t="s">
        <v>52</v>
      </c>
      <c r="H16" s="2" t="s">
        <v>47</v>
      </c>
      <c r="I16" s="4"/>
      <c r="J16" s="4"/>
      <c r="K16" s="4"/>
    </row>
    <row r="17" customFormat="false" ht="35.05" hidden="false" customHeight="false" outlineLevel="0" collapsed="false">
      <c r="A17" s="2" t="s">
        <v>59</v>
      </c>
      <c r="B17" s="2" t="s">
        <v>60</v>
      </c>
      <c r="C17" s="2" t="n">
        <v>2002</v>
      </c>
      <c r="D17" s="2" t="s">
        <v>20</v>
      </c>
      <c r="E17" s="2" t="s">
        <v>61</v>
      </c>
      <c r="F17" s="2" t="s">
        <v>62</v>
      </c>
      <c r="G17" s="2" t="s">
        <v>63</v>
      </c>
      <c r="H17" s="2"/>
      <c r="I17" s="4"/>
      <c r="J17" s="4"/>
      <c r="K17" s="4"/>
    </row>
    <row r="18" customFormat="false" ht="23.85" hidden="false" customHeight="false" outlineLevel="0" collapsed="false">
      <c r="A18" s="2" t="s">
        <v>59</v>
      </c>
      <c r="B18" s="2" t="s">
        <v>60</v>
      </c>
      <c r="C18" s="2" t="n">
        <v>2002</v>
      </c>
      <c r="D18" s="2" t="s">
        <v>24</v>
      </c>
      <c r="E18" s="2" t="s">
        <v>64</v>
      </c>
      <c r="F18" s="2"/>
      <c r="G18" s="2" t="s">
        <v>65</v>
      </c>
      <c r="H18" s="2"/>
      <c r="I18" s="4"/>
      <c r="J18" s="4"/>
      <c r="K18" s="4"/>
    </row>
    <row r="19" customFormat="false" ht="35.05" hidden="false" customHeight="false" outlineLevel="0" collapsed="false">
      <c r="A19" s="2" t="s">
        <v>59</v>
      </c>
      <c r="B19" s="2" t="s">
        <v>60</v>
      </c>
      <c r="C19" s="2" t="n">
        <v>2002</v>
      </c>
      <c r="D19" s="2" t="s">
        <v>27</v>
      </c>
      <c r="E19" s="2" t="s">
        <v>66</v>
      </c>
      <c r="F19" s="2" t="s">
        <v>67</v>
      </c>
      <c r="G19" s="2" t="s">
        <v>68</v>
      </c>
      <c r="H19" s="2"/>
      <c r="I19" s="4"/>
      <c r="J19" s="4"/>
      <c r="K19" s="4"/>
    </row>
    <row r="20" customFormat="false" ht="35.05" hidden="false" customHeight="false" outlineLevel="0" collapsed="false">
      <c r="A20" s="2" t="s">
        <v>59</v>
      </c>
      <c r="B20" s="2" t="s">
        <v>60</v>
      </c>
      <c r="C20" s="2" t="n">
        <v>2002</v>
      </c>
      <c r="D20" s="2" t="s">
        <v>31</v>
      </c>
      <c r="E20" s="2" t="s">
        <v>69</v>
      </c>
      <c r="F20" s="2" t="s">
        <v>70</v>
      </c>
      <c r="G20" s="2" t="s">
        <v>71</v>
      </c>
      <c r="H20" s="2"/>
      <c r="I20" s="4"/>
      <c r="J20" s="4"/>
      <c r="K20" s="4"/>
    </row>
    <row r="21" customFormat="false" ht="35.05" hidden="false" customHeight="false" outlineLevel="0" collapsed="false">
      <c r="A21" s="2" t="s">
        <v>59</v>
      </c>
      <c r="B21" s="2" t="s">
        <v>60</v>
      </c>
      <c r="C21" s="2" t="n">
        <v>2002</v>
      </c>
      <c r="D21" s="2" t="s">
        <v>33</v>
      </c>
      <c r="E21" s="2" t="s">
        <v>72</v>
      </c>
      <c r="F21" s="2" t="s">
        <v>73</v>
      </c>
      <c r="G21" s="2" t="s">
        <v>74</v>
      </c>
      <c r="H21" s="2"/>
      <c r="I21" s="4"/>
      <c r="J21" s="4"/>
      <c r="K21" s="4"/>
    </row>
    <row r="22" customFormat="false" ht="15" hidden="false" customHeight="false" outlineLevel="0" collapsed="false">
      <c r="A22" s="2" t="s">
        <v>59</v>
      </c>
      <c r="B22" s="2" t="s">
        <v>60</v>
      </c>
      <c r="C22" s="2" t="n">
        <v>2002</v>
      </c>
      <c r="D22" s="2" t="s">
        <v>37</v>
      </c>
      <c r="E22" s="2" t="s">
        <v>38</v>
      </c>
      <c r="F22" s="2"/>
      <c r="G22" s="2"/>
      <c r="H22" s="2"/>
      <c r="I22" s="4"/>
      <c r="J22" s="4"/>
      <c r="K22" s="4"/>
    </row>
    <row r="23" customFormat="false" ht="46.25" hidden="false" customHeight="false" outlineLevel="0" collapsed="false">
      <c r="A23" s="2" t="s">
        <v>59</v>
      </c>
      <c r="B23" s="2" t="s">
        <v>60</v>
      </c>
      <c r="C23" s="2" t="n">
        <v>2002</v>
      </c>
      <c r="D23" s="2" t="s">
        <v>39</v>
      </c>
      <c r="E23" s="2" t="s">
        <v>75</v>
      </c>
      <c r="F23" s="2"/>
      <c r="G23" s="2" t="s">
        <v>76</v>
      </c>
      <c r="H23" s="2"/>
      <c r="I23" s="4"/>
      <c r="J23" s="4"/>
      <c r="K23" s="4"/>
    </row>
    <row r="24" customFormat="false" ht="35.05" hidden="false" customHeight="false" outlineLevel="0" collapsed="false">
      <c r="A24" s="2" t="s">
        <v>59</v>
      </c>
      <c r="B24" s="2" t="s">
        <v>60</v>
      </c>
      <c r="C24" s="2" t="n">
        <v>2002</v>
      </c>
      <c r="D24" s="2" t="s">
        <v>57</v>
      </c>
      <c r="E24" s="2" t="s">
        <v>58</v>
      </c>
      <c r="F24" s="2" t="s">
        <v>70</v>
      </c>
      <c r="G24" s="2" t="s">
        <v>71</v>
      </c>
      <c r="H24" s="2"/>
      <c r="I24" s="4"/>
      <c r="J24" s="4"/>
      <c r="K24" s="4"/>
    </row>
    <row r="25" customFormat="false" ht="35.05" hidden="false" customHeight="false" outlineLevel="0" collapsed="false">
      <c r="A25" s="2" t="s">
        <v>77</v>
      </c>
      <c r="B25" s="2" t="s">
        <v>78</v>
      </c>
      <c r="C25" s="2" t="n">
        <v>2003</v>
      </c>
      <c r="D25" s="2" t="s">
        <v>20</v>
      </c>
      <c r="E25" s="2" t="s">
        <v>61</v>
      </c>
      <c r="F25" s="2" t="s">
        <v>79</v>
      </c>
      <c r="G25" s="2" t="s">
        <v>80</v>
      </c>
      <c r="H25" s="2"/>
      <c r="I25" s="4"/>
      <c r="J25" s="4"/>
      <c r="K25" s="4"/>
    </row>
    <row r="26" customFormat="false" ht="23.85" hidden="false" customHeight="false" outlineLevel="0" collapsed="false">
      <c r="A26" s="2" t="s">
        <v>77</v>
      </c>
      <c r="B26" s="2" t="s">
        <v>78</v>
      </c>
      <c r="C26" s="2" t="n">
        <v>2003</v>
      </c>
      <c r="D26" s="2" t="s">
        <v>24</v>
      </c>
      <c r="E26" s="2" t="s">
        <v>81</v>
      </c>
      <c r="F26" s="2"/>
      <c r="G26" s="2" t="s">
        <v>82</v>
      </c>
      <c r="H26" s="2"/>
      <c r="I26" s="4"/>
      <c r="J26" s="4"/>
      <c r="K26" s="4"/>
    </row>
    <row r="27" customFormat="false" ht="15" hidden="false" customHeight="false" outlineLevel="0" collapsed="false">
      <c r="A27" s="2" t="s">
        <v>77</v>
      </c>
      <c r="B27" s="2" t="s">
        <v>78</v>
      </c>
      <c r="C27" s="2" t="n">
        <v>2003</v>
      </c>
      <c r="D27" s="2" t="s">
        <v>27</v>
      </c>
      <c r="E27" s="2" t="s">
        <v>49</v>
      </c>
      <c r="F27" s="2"/>
      <c r="G27" s="2"/>
      <c r="H27" s="2"/>
      <c r="I27" s="4"/>
      <c r="J27" s="4"/>
      <c r="K27" s="4"/>
    </row>
    <row r="28" customFormat="false" ht="35.05" hidden="false" customHeight="false" outlineLevel="0" collapsed="false">
      <c r="A28" s="2" t="s">
        <v>77</v>
      </c>
      <c r="B28" s="2" t="s">
        <v>78</v>
      </c>
      <c r="C28" s="2" t="n">
        <v>2003</v>
      </c>
      <c r="D28" s="2" t="s">
        <v>31</v>
      </c>
      <c r="E28" s="2" t="s">
        <v>83</v>
      </c>
      <c r="F28" s="2" t="s">
        <v>84</v>
      </c>
      <c r="G28" s="2" t="s">
        <v>85</v>
      </c>
      <c r="H28" s="2"/>
      <c r="I28" s="4"/>
      <c r="J28" s="4"/>
      <c r="K28" s="4"/>
    </row>
    <row r="29" customFormat="false" ht="35.05" hidden="false" customHeight="false" outlineLevel="0" collapsed="false">
      <c r="A29" s="2" t="s">
        <v>77</v>
      </c>
      <c r="B29" s="2" t="s">
        <v>78</v>
      </c>
      <c r="C29" s="2" t="n">
        <v>2003</v>
      </c>
      <c r="D29" s="2" t="s">
        <v>33</v>
      </c>
      <c r="E29" s="2" t="s">
        <v>86</v>
      </c>
      <c r="F29" s="2" t="s">
        <v>87</v>
      </c>
      <c r="G29" s="2" t="s">
        <v>88</v>
      </c>
      <c r="H29" s="2"/>
      <c r="I29" s="4"/>
      <c r="J29" s="4"/>
      <c r="K29" s="4"/>
    </row>
    <row r="30" customFormat="false" ht="15" hidden="false" customHeight="false" outlineLevel="0" collapsed="false">
      <c r="A30" s="2" t="s">
        <v>77</v>
      </c>
      <c r="B30" s="2" t="s">
        <v>78</v>
      </c>
      <c r="C30" s="2" t="n">
        <v>2003</v>
      </c>
      <c r="D30" s="2" t="s">
        <v>37</v>
      </c>
      <c r="E30" s="2" t="s">
        <v>38</v>
      </c>
      <c r="F30" s="2"/>
      <c r="G30" s="2"/>
      <c r="H30" s="2"/>
      <c r="I30" s="4"/>
      <c r="J30" s="4"/>
      <c r="K30" s="4"/>
    </row>
    <row r="31" customFormat="false" ht="15" hidden="false" customHeight="false" outlineLevel="0" collapsed="false">
      <c r="A31" s="2" t="s">
        <v>77</v>
      </c>
      <c r="B31" s="2" t="s">
        <v>78</v>
      </c>
      <c r="C31" s="2" t="n">
        <v>2003</v>
      </c>
      <c r="D31" s="2" t="s">
        <v>39</v>
      </c>
      <c r="E31" s="2" t="s">
        <v>38</v>
      </c>
      <c r="F31" s="2"/>
      <c r="G31" s="2"/>
      <c r="H31" s="2"/>
      <c r="I31" s="4"/>
      <c r="J31" s="4"/>
      <c r="K31" s="4"/>
    </row>
    <row r="32" customFormat="false" ht="35.05" hidden="false" customHeight="false" outlineLevel="0" collapsed="false">
      <c r="A32" s="2" t="s">
        <v>77</v>
      </c>
      <c r="B32" s="2" t="s">
        <v>78</v>
      </c>
      <c r="C32" s="2" t="n">
        <v>2003</v>
      </c>
      <c r="D32" s="2" t="s">
        <v>57</v>
      </c>
      <c r="E32" s="2" t="s">
        <v>58</v>
      </c>
      <c r="F32" s="2" t="s">
        <v>84</v>
      </c>
      <c r="G32" s="2" t="s">
        <v>85</v>
      </c>
      <c r="H32" s="2"/>
      <c r="I32" s="4"/>
      <c r="J32" s="4"/>
      <c r="K32" s="4"/>
    </row>
    <row r="33" customFormat="false" ht="23.85" hidden="false" customHeight="false" outlineLevel="0" collapsed="false">
      <c r="A33" s="2" t="s">
        <v>89</v>
      </c>
      <c r="B33" s="2" t="s">
        <v>90</v>
      </c>
      <c r="C33" s="2" t="n">
        <v>2004</v>
      </c>
      <c r="D33" s="2" t="s">
        <v>20</v>
      </c>
      <c r="E33" s="2" t="s">
        <v>61</v>
      </c>
      <c r="F33" s="2" t="s">
        <v>91</v>
      </c>
      <c r="G33" s="2" t="s">
        <v>92</v>
      </c>
      <c r="H33" s="2"/>
      <c r="I33" s="4"/>
      <c r="J33" s="4"/>
      <c r="K33" s="4"/>
    </row>
    <row r="34" customFormat="false" ht="23.85" hidden="false" customHeight="false" outlineLevel="0" collapsed="false">
      <c r="A34" s="2" t="s">
        <v>89</v>
      </c>
      <c r="B34" s="2" t="s">
        <v>90</v>
      </c>
      <c r="C34" s="2" t="n">
        <v>2004</v>
      </c>
      <c r="D34" s="2" t="s">
        <v>24</v>
      </c>
      <c r="E34" s="2" t="s">
        <v>93</v>
      </c>
      <c r="F34" s="2"/>
      <c r="G34" s="2" t="s">
        <v>94</v>
      </c>
      <c r="H34" s="2"/>
      <c r="I34" s="4"/>
      <c r="J34" s="4"/>
      <c r="K34" s="4"/>
    </row>
    <row r="35" customFormat="false" ht="23.85" hidden="false" customHeight="false" outlineLevel="0" collapsed="false">
      <c r="A35" s="2" t="s">
        <v>89</v>
      </c>
      <c r="B35" s="2" t="s">
        <v>90</v>
      </c>
      <c r="C35" s="2" t="n">
        <v>2004</v>
      </c>
      <c r="D35" s="2" t="s">
        <v>27</v>
      </c>
      <c r="E35" s="2" t="s">
        <v>49</v>
      </c>
      <c r="F35" s="2"/>
      <c r="G35" s="2"/>
      <c r="H35" s="2"/>
      <c r="I35" s="4"/>
      <c r="J35" s="4"/>
      <c r="K35" s="4"/>
    </row>
    <row r="36" customFormat="false" ht="23.85" hidden="false" customHeight="false" outlineLevel="0" collapsed="false">
      <c r="A36" s="2" t="s">
        <v>89</v>
      </c>
      <c r="B36" s="2" t="s">
        <v>90</v>
      </c>
      <c r="C36" s="2" t="n">
        <v>2004</v>
      </c>
      <c r="D36" s="2" t="s">
        <v>31</v>
      </c>
      <c r="E36" s="2" t="s">
        <v>95</v>
      </c>
      <c r="F36" s="2" t="s">
        <v>96</v>
      </c>
      <c r="G36" s="2" t="s">
        <v>97</v>
      </c>
      <c r="H36" s="2"/>
      <c r="I36" s="4"/>
      <c r="J36" s="4"/>
      <c r="K36" s="4"/>
    </row>
    <row r="37" customFormat="false" ht="46.25" hidden="false" customHeight="false" outlineLevel="0" collapsed="false">
      <c r="A37" s="2" t="s">
        <v>89</v>
      </c>
      <c r="B37" s="2" t="s">
        <v>90</v>
      </c>
      <c r="C37" s="2" t="n">
        <v>2004</v>
      </c>
      <c r="D37" s="2" t="s">
        <v>33</v>
      </c>
      <c r="E37" s="2" t="s">
        <v>98</v>
      </c>
      <c r="F37" s="2" t="s">
        <v>99</v>
      </c>
      <c r="G37" s="2" t="s">
        <v>100</v>
      </c>
      <c r="H37" s="2"/>
      <c r="I37" s="4"/>
      <c r="J37" s="4"/>
      <c r="K37" s="4"/>
    </row>
    <row r="38" customFormat="false" ht="23.85" hidden="false" customHeight="false" outlineLevel="0" collapsed="false">
      <c r="A38" s="2" t="s">
        <v>89</v>
      </c>
      <c r="B38" s="2" t="s">
        <v>90</v>
      </c>
      <c r="C38" s="2" t="n">
        <v>2004</v>
      </c>
      <c r="D38" s="2" t="s">
        <v>37</v>
      </c>
      <c r="E38" s="2" t="s">
        <v>38</v>
      </c>
      <c r="F38" s="2"/>
      <c r="G38" s="2" t="s">
        <v>101</v>
      </c>
      <c r="H38" s="2"/>
      <c r="I38" s="4"/>
      <c r="J38" s="4"/>
      <c r="K38" s="4"/>
    </row>
    <row r="39" customFormat="false" ht="46.25" hidden="false" customHeight="false" outlineLevel="0" collapsed="false">
      <c r="A39" s="2" t="s">
        <v>89</v>
      </c>
      <c r="B39" s="2" t="s">
        <v>90</v>
      </c>
      <c r="C39" s="2" t="n">
        <v>2004</v>
      </c>
      <c r="D39" s="2" t="s">
        <v>39</v>
      </c>
      <c r="E39" s="2" t="s">
        <v>102</v>
      </c>
      <c r="F39" s="2"/>
      <c r="G39" s="2" t="s">
        <v>103</v>
      </c>
      <c r="H39" s="2"/>
      <c r="I39" s="4"/>
      <c r="J39" s="4"/>
      <c r="K39" s="4"/>
    </row>
    <row r="40" customFormat="false" ht="15" hidden="false" customHeight="false" outlineLevel="0" collapsed="false">
      <c r="A40" s="2" t="s">
        <v>104</v>
      </c>
      <c r="B40" s="2" t="s">
        <v>105</v>
      </c>
      <c r="C40" s="2" t="n">
        <v>2005</v>
      </c>
      <c r="D40" s="2" t="s">
        <v>20</v>
      </c>
      <c r="E40" s="2" t="s">
        <v>49</v>
      </c>
      <c r="F40" s="2"/>
      <c r="G40" s="2"/>
      <c r="H40" s="2"/>
      <c r="I40" s="4"/>
      <c r="J40" s="4"/>
      <c r="K40" s="4"/>
    </row>
    <row r="41" customFormat="false" ht="23.85" hidden="false" customHeight="false" outlineLevel="0" collapsed="false">
      <c r="A41" s="2" t="s">
        <v>104</v>
      </c>
      <c r="B41" s="2" t="s">
        <v>105</v>
      </c>
      <c r="C41" s="2" t="n">
        <v>2005</v>
      </c>
      <c r="D41" s="2" t="s">
        <v>24</v>
      </c>
      <c r="E41" s="2" t="s">
        <v>93</v>
      </c>
      <c r="F41" s="2"/>
      <c r="G41" s="2" t="s">
        <v>106</v>
      </c>
      <c r="H41" s="2"/>
      <c r="I41" s="4"/>
      <c r="J41" s="4"/>
      <c r="K41" s="4"/>
    </row>
    <row r="42" customFormat="false" ht="15" hidden="false" customHeight="false" outlineLevel="0" collapsed="false">
      <c r="A42" s="2" t="s">
        <v>104</v>
      </c>
      <c r="B42" s="2" t="s">
        <v>105</v>
      </c>
      <c r="C42" s="2" t="n">
        <v>2005</v>
      </c>
      <c r="D42" s="2" t="s">
        <v>27</v>
      </c>
      <c r="E42" s="2" t="s">
        <v>49</v>
      </c>
      <c r="F42" s="2"/>
      <c r="G42" s="2"/>
      <c r="H42" s="2"/>
      <c r="I42" s="4"/>
      <c r="J42" s="4"/>
      <c r="K42" s="4"/>
    </row>
    <row r="43" customFormat="false" ht="35.05" hidden="false" customHeight="false" outlineLevel="0" collapsed="false">
      <c r="A43" s="2" t="s">
        <v>104</v>
      </c>
      <c r="B43" s="2" t="s">
        <v>105</v>
      </c>
      <c r="C43" s="2" t="n">
        <v>2005</v>
      </c>
      <c r="D43" s="2" t="s">
        <v>31</v>
      </c>
      <c r="E43" s="2" t="s">
        <v>95</v>
      </c>
      <c r="F43" s="2" t="s">
        <v>107</v>
      </c>
      <c r="G43" s="2" t="s">
        <v>108</v>
      </c>
      <c r="H43" s="2"/>
      <c r="I43" s="4"/>
      <c r="J43" s="4"/>
      <c r="K43" s="4"/>
    </row>
    <row r="44" customFormat="false" ht="35.05" hidden="false" customHeight="false" outlineLevel="0" collapsed="false">
      <c r="A44" s="2" t="s">
        <v>104</v>
      </c>
      <c r="B44" s="2" t="s">
        <v>105</v>
      </c>
      <c r="C44" s="2" t="n">
        <v>2005</v>
      </c>
      <c r="D44" s="2" t="s">
        <v>33</v>
      </c>
      <c r="E44" s="2" t="s">
        <v>86</v>
      </c>
      <c r="F44" s="2" t="s">
        <v>109</v>
      </c>
      <c r="G44" s="2" t="s">
        <v>110</v>
      </c>
      <c r="H44" s="2"/>
      <c r="I44" s="4"/>
      <c r="J44" s="4"/>
      <c r="K44" s="4"/>
    </row>
    <row r="45" customFormat="false" ht="15" hidden="false" customHeight="false" outlineLevel="0" collapsed="false">
      <c r="A45" s="2" t="s">
        <v>104</v>
      </c>
      <c r="B45" s="2" t="s">
        <v>105</v>
      </c>
      <c r="C45" s="2" t="n">
        <v>2005</v>
      </c>
      <c r="D45" s="2" t="s">
        <v>37</v>
      </c>
      <c r="E45" s="2" t="s">
        <v>38</v>
      </c>
      <c r="F45" s="2"/>
      <c r="G45" s="2"/>
      <c r="H45" s="2"/>
      <c r="I45" s="4"/>
      <c r="J45" s="4"/>
      <c r="K45" s="4"/>
    </row>
    <row r="46" customFormat="false" ht="46.25" hidden="false" customHeight="false" outlineLevel="0" collapsed="false">
      <c r="A46" s="2" t="s">
        <v>104</v>
      </c>
      <c r="B46" s="2" t="s">
        <v>105</v>
      </c>
      <c r="C46" s="2" t="n">
        <v>2005</v>
      </c>
      <c r="D46" s="2" t="s">
        <v>39</v>
      </c>
      <c r="E46" s="2" t="s">
        <v>111</v>
      </c>
      <c r="F46" s="2"/>
      <c r="G46" s="2" t="s">
        <v>112</v>
      </c>
      <c r="H46" s="2"/>
      <c r="I46" s="4"/>
      <c r="J46" s="4"/>
      <c r="K46" s="4"/>
    </row>
    <row r="47" customFormat="false" ht="35.05" hidden="false" customHeight="false" outlineLevel="0" collapsed="false">
      <c r="A47" s="2" t="s">
        <v>113</v>
      </c>
      <c r="B47" s="2" t="s">
        <v>114</v>
      </c>
      <c r="C47" s="2" t="n">
        <v>2006</v>
      </c>
      <c r="D47" s="2" t="s">
        <v>20</v>
      </c>
      <c r="E47" s="2" t="s">
        <v>115</v>
      </c>
      <c r="F47" s="2" t="s">
        <v>116</v>
      </c>
      <c r="G47" s="2" t="s">
        <v>117</v>
      </c>
      <c r="H47" s="2"/>
      <c r="I47" s="4"/>
      <c r="J47" s="4"/>
      <c r="K47" s="4"/>
    </row>
    <row r="48" customFormat="false" ht="23.85" hidden="false" customHeight="false" outlineLevel="0" collapsed="false">
      <c r="A48" s="2" t="s">
        <v>113</v>
      </c>
      <c r="B48" s="2" t="s">
        <v>114</v>
      </c>
      <c r="C48" s="2" t="n">
        <v>2006</v>
      </c>
      <c r="D48" s="2" t="s">
        <v>24</v>
      </c>
      <c r="E48" s="2" t="s">
        <v>25</v>
      </c>
      <c r="F48" s="2"/>
      <c r="G48" s="2" t="s">
        <v>118</v>
      </c>
      <c r="H48" s="2"/>
      <c r="I48" s="4"/>
      <c r="J48" s="4"/>
      <c r="K48" s="4"/>
    </row>
    <row r="49" customFormat="false" ht="35.05" hidden="false" customHeight="false" outlineLevel="0" collapsed="false">
      <c r="A49" s="2" t="s">
        <v>113</v>
      </c>
      <c r="B49" s="2" t="s">
        <v>114</v>
      </c>
      <c r="C49" s="2" t="n">
        <v>2006</v>
      </c>
      <c r="D49" s="2" t="s">
        <v>27</v>
      </c>
      <c r="E49" s="2" t="s">
        <v>119</v>
      </c>
      <c r="F49" s="2" t="s">
        <v>120</v>
      </c>
      <c r="G49" s="2" t="s">
        <v>121</v>
      </c>
      <c r="H49" s="2"/>
      <c r="I49" s="4"/>
      <c r="J49" s="4"/>
      <c r="K49" s="4"/>
    </row>
    <row r="50" customFormat="false" ht="35.05" hidden="false" customHeight="false" outlineLevel="0" collapsed="false">
      <c r="A50" s="2" t="s">
        <v>113</v>
      </c>
      <c r="B50" s="2" t="s">
        <v>114</v>
      </c>
      <c r="C50" s="2" t="n">
        <v>2006</v>
      </c>
      <c r="D50" s="2" t="s">
        <v>31</v>
      </c>
      <c r="E50" s="2" t="s">
        <v>122</v>
      </c>
      <c r="F50" s="2" t="s">
        <v>123</v>
      </c>
      <c r="G50" s="2" t="s">
        <v>124</v>
      </c>
      <c r="H50" s="2"/>
      <c r="I50" s="4"/>
      <c r="J50" s="4"/>
      <c r="K50" s="4"/>
    </row>
    <row r="51" customFormat="false" ht="46.25" hidden="false" customHeight="false" outlineLevel="0" collapsed="false">
      <c r="A51" s="2" t="s">
        <v>113</v>
      </c>
      <c r="B51" s="2" t="s">
        <v>114</v>
      </c>
      <c r="C51" s="2" t="n">
        <v>2006</v>
      </c>
      <c r="D51" s="2" t="s">
        <v>33</v>
      </c>
      <c r="E51" s="2" t="s">
        <v>125</v>
      </c>
      <c r="F51" s="2" t="s">
        <v>126</v>
      </c>
      <c r="G51" s="2" t="s">
        <v>127</v>
      </c>
      <c r="H51" s="2"/>
      <c r="I51" s="4"/>
      <c r="J51" s="4"/>
      <c r="K51" s="4"/>
    </row>
    <row r="52" customFormat="false" ht="15" hidden="false" customHeight="false" outlineLevel="0" collapsed="false">
      <c r="A52" s="2" t="s">
        <v>113</v>
      </c>
      <c r="B52" s="2" t="s">
        <v>114</v>
      </c>
      <c r="C52" s="2" t="n">
        <v>2006</v>
      </c>
      <c r="D52" s="2" t="s">
        <v>37</v>
      </c>
      <c r="E52" s="2" t="s">
        <v>38</v>
      </c>
      <c r="F52" s="2"/>
      <c r="G52" s="2"/>
      <c r="H52" s="2"/>
      <c r="I52" s="4"/>
      <c r="J52" s="4"/>
      <c r="K52" s="4"/>
    </row>
    <row r="53" customFormat="false" ht="15" hidden="false" customHeight="false" outlineLevel="0" collapsed="false">
      <c r="A53" s="2" t="s">
        <v>113</v>
      </c>
      <c r="B53" s="2" t="s">
        <v>114</v>
      </c>
      <c r="C53" s="2" t="n">
        <v>2006</v>
      </c>
      <c r="D53" s="2" t="s">
        <v>39</v>
      </c>
      <c r="E53" s="2" t="s">
        <v>38</v>
      </c>
      <c r="F53" s="2"/>
      <c r="G53" s="2"/>
      <c r="H53" s="2"/>
      <c r="I53" s="4"/>
      <c r="J53" s="4"/>
      <c r="K53" s="4"/>
    </row>
    <row r="54" customFormat="false" ht="35.05" hidden="false" customHeight="false" outlineLevel="0" collapsed="false">
      <c r="A54" s="2" t="s">
        <v>113</v>
      </c>
      <c r="B54" s="2" t="s">
        <v>114</v>
      </c>
      <c r="C54" s="2" t="n">
        <v>2006</v>
      </c>
      <c r="D54" s="2" t="s">
        <v>57</v>
      </c>
      <c r="E54" s="2" t="s">
        <v>58</v>
      </c>
      <c r="F54" s="2" t="s">
        <v>123</v>
      </c>
      <c r="G54" s="2" t="s">
        <v>124</v>
      </c>
      <c r="H54" s="2"/>
      <c r="I54" s="4"/>
      <c r="J54" s="4"/>
      <c r="K54" s="4"/>
    </row>
    <row r="55" customFormat="false" ht="15" hidden="false" customHeight="false" outlineLevel="0" collapsed="false">
      <c r="A55" s="2" t="s">
        <v>128</v>
      </c>
      <c r="B55" s="2" t="s">
        <v>129</v>
      </c>
      <c r="C55" s="2" t="n">
        <v>2006</v>
      </c>
      <c r="D55" s="2" t="s">
        <v>20</v>
      </c>
      <c r="E55" s="2" t="s">
        <v>49</v>
      </c>
      <c r="F55" s="2"/>
      <c r="G55" s="2"/>
      <c r="H55" s="2"/>
      <c r="I55" s="4"/>
      <c r="J55" s="4"/>
      <c r="K55" s="4"/>
    </row>
    <row r="56" customFormat="false" ht="57.45" hidden="false" customHeight="false" outlineLevel="0" collapsed="false">
      <c r="A56" s="2" t="s">
        <v>128</v>
      </c>
      <c r="B56" s="2" t="s">
        <v>129</v>
      </c>
      <c r="C56" s="2" t="n">
        <v>2006</v>
      </c>
      <c r="D56" s="2" t="s">
        <v>24</v>
      </c>
      <c r="E56" s="2" t="s">
        <v>130</v>
      </c>
      <c r="F56" s="2"/>
      <c r="G56" s="2" t="s">
        <v>131</v>
      </c>
      <c r="H56" s="2"/>
      <c r="I56" s="4"/>
      <c r="J56" s="4"/>
      <c r="K56" s="4"/>
    </row>
    <row r="57" customFormat="false" ht="35.05" hidden="false" customHeight="false" outlineLevel="0" collapsed="false">
      <c r="A57" s="2" t="s">
        <v>128</v>
      </c>
      <c r="B57" s="2" t="s">
        <v>129</v>
      </c>
      <c r="C57" s="2" t="n">
        <v>2006</v>
      </c>
      <c r="D57" s="2" t="s">
        <v>27</v>
      </c>
      <c r="E57" s="2" t="s">
        <v>132</v>
      </c>
      <c r="F57" s="2" t="s">
        <v>133</v>
      </c>
      <c r="G57" s="2" t="s">
        <v>134</v>
      </c>
      <c r="H57" s="2"/>
      <c r="I57" s="4"/>
      <c r="J57" s="4"/>
      <c r="K57" s="4"/>
    </row>
    <row r="58" customFormat="false" ht="46.25" hidden="false" customHeight="false" outlineLevel="0" collapsed="false">
      <c r="A58" s="2" t="s">
        <v>128</v>
      </c>
      <c r="B58" s="2" t="s">
        <v>129</v>
      </c>
      <c r="C58" s="2" t="n">
        <v>2006</v>
      </c>
      <c r="D58" s="2" t="s">
        <v>31</v>
      </c>
      <c r="E58" s="2" t="s">
        <v>95</v>
      </c>
      <c r="F58" s="2"/>
      <c r="G58" s="2" t="s">
        <v>135</v>
      </c>
      <c r="H58" s="2"/>
      <c r="I58" s="4"/>
      <c r="J58" s="4"/>
      <c r="K58" s="4"/>
    </row>
    <row r="59" customFormat="false" ht="57.45" hidden="false" customHeight="false" outlineLevel="0" collapsed="false">
      <c r="A59" s="2" t="s">
        <v>128</v>
      </c>
      <c r="B59" s="2" t="s">
        <v>129</v>
      </c>
      <c r="C59" s="2" t="n">
        <v>2006</v>
      </c>
      <c r="D59" s="2" t="s">
        <v>33</v>
      </c>
      <c r="E59" s="2" t="s">
        <v>136</v>
      </c>
      <c r="F59" s="2" t="s">
        <v>137</v>
      </c>
      <c r="G59" s="2" t="s">
        <v>138</v>
      </c>
      <c r="H59" s="2"/>
      <c r="I59" s="4"/>
      <c r="J59" s="4"/>
      <c r="K59" s="4"/>
    </row>
    <row r="60" customFormat="false" ht="46.25" hidden="false" customHeight="false" outlineLevel="0" collapsed="false">
      <c r="A60" s="2" t="s">
        <v>128</v>
      </c>
      <c r="B60" s="2" t="s">
        <v>129</v>
      </c>
      <c r="C60" s="2" t="n">
        <v>2006</v>
      </c>
      <c r="D60" s="2" t="s">
        <v>37</v>
      </c>
      <c r="E60" s="2" t="s">
        <v>38</v>
      </c>
      <c r="F60" s="2"/>
      <c r="G60" s="2" t="s">
        <v>139</v>
      </c>
      <c r="H60" s="2"/>
      <c r="I60" s="4"/>
      <c r="J60" s="4"/>
      <c r="K60" s="4"/>
    </row>
    <row r="61" customFormat="false" ht="57.45" hidden="false" customHeight="false" outlineLevel="0" collapsed="false">
      <c r="A61" s="2" t="s">
        <v>128</v>
      </c>
      <c r="B61" s="2" t="s">
        <v>129</v>
      </c>
      <c r="C61" s="2" t="n">
        <v>2006</v>
      </c>
      <c r="D61" s="2" t="s">
        <v>39</v>
      </c>
      <c r="E61" s="2" t="s">
        <v>140</v>
      </c>
      <c r="F61" s="2"/>
      <c r="G61" s="2" t="s">
        <v>141</v>
      </c>
      <c r="H61" s="2"/>
      <c r="I61" s="4"/>
      <c r="J61" s="4"/>
      <c r="K61" s="4"/>
    </row>
    <row r="62" customFormat="false" ht="68.65" hidden="false" customHeight="false" outlineLevel="0" collapsed="false">
      <c r="A62" s="2" t="s">
        <v>142</v>
      </c>
      <c r="B62" s="2" t="s">
        <v>143</v>
      </c>
      <c r="C62" s="2" t="n">
        <v>2007</v>
      </c>
      <c r="D62" s="2" t="s">
        <v>20</v>
      </c>
      <c r="E62" s="2" t="s">
        <v>144</v>
      </c>
      <c r="F62" s="2" t="s">
        <v>145</v>
      </c>
      <c r="G62" s="2" t="s">
        <v>146</v>
      </c>
      <c r="H62" s="2"/>
      <c r="I62" s="4"/>
      <c r="J62" s="4"/>
      <c r="K62" s="4"/>
    </row>
    <row r="63" customFormat="false" ht="35.05" hidden="false" customHeight="false" outlineLevel="0" collapsed="false">
      <c r="A63" s="2" t="s">
        <v>142</v>
      </c>
      <c r="B63" s="2" t="s">
        <v>143</v>
      </c>
      <c r="C63" s="2" t="n">
        <v>2007</v>
      </c>
      <c r="D63" s="2" t="s">
        <v>24</v>
      </c>
      <c r="E63" s="2" t="s">
        <v>93</v>
      </c>
      <c r="F63" s="2"/>
      <c r="G63" s="2" t="s">
        <v>147</v>
      </c>
      <c r="H63" s="2"/>
      <c r="I63" s="4"/>
      <c r="J63" s="4"/>
      <c r="K63" s="4"/>
    </row>
    <row r="64" customFormat="false" ht="35.05" hidden="false" customHeight="false" outlineLevel="0" collapsed="false">
      <c r="A64" s="2" t="s">
        <v>142</v>
      </c>
      <c r="B64" s="2" t="s">
        <v>143</v>
      </c>
      <c r="C64" s="2" t="n">
        <v>2007</v>
      </c>
      <c r="D64" s="2" t="s">
        <v>27</v>
      </c>
      <c r="E64" s="2" t="s">
        <v>148</v>
      </c>
      <c r="F64" s="2" t="s">
        <v>149</v>
      </c>
      <c r="G64" s="2" t="s">
        <v>150</v>
      </c>
      <c r="H64" s="2"/>
      <c r="I64" s="4"/>
      <c r="J64" s="4"/>
      <c r="K64" s="4"/>
    </row>
    <row r="65" customFormat="false" ht="46.25" hidden="false" customHeight="false" outlineLevel="0" collapsed="false">
      <c r="A65" s="2" t="s">
        <v>142</v>
      </c>
      <c r="B65" s="2" t="s">
        <v>143</v>
      </c>
      <c r="C65" s="2" t="n">
        <v>2007</v>
      </c>
      <c r="D65" s="2" t="s">
        <v>31</v>
      </c>
      <c r="E65" s="2" t="s">
        <v>151</v>
      </c>
      <c r="F65" s="2" t="s">
        <v>152</v>
      </c>
      <c r="G65" s="2" t="s">
        <v>153</v>
      </c>
      <c r="H65" s="2"/>
      <c r="I65" s="4"/>
      <c r="J65" s="4"/>
      <c r="K65" s="4"/>
    </row>
    <row r="66" customFormat="false" ht="15" hidden="false" customHeight="false" outlineLevel="0" collapsed="false">
      <c r="A66" s="2" t="s">
        <v>142</v>
      </c>
      <c r="B66" s="2" t="s">
        <v>143</v>
      </c>
      <c r="C66" s="2" t="n">
        <v>2007</v>
      </c>
      <c r="D66" s="2" t="s">
        <v>33</v>
      </c>
      <c r="E66" s="2" t="s">
        <v>49</v>
      </c>
      <c r="F66" s="2"/>
      <c r="G66" s="2"/>
      <c r="H66" s="2"/>
      <c r="I66" s="4"/>
      <c r="J66" s="4"/>
      <c r="K66" s="4"/>
    </row>
    <row r="67" customFormat="false" ht="15" hidden="false" customHeight="false" outlineLevel="0" collapsed="false">
      <c r="A67" s="2" t="s">
        <v>142</v>
      </c>
      <c r="B67" s="2" t="s">
        <v>143</v>
      </c>
      <c r="C67" s="2" t="n">
        <v>2007</v>
      </c>
      <c r="D67" s="2" t="s">
        <v>37</v>
      </c>
      <c r="E67" s="2" t="s">
        <v>38</v>
      </c>
      <c r="F67" s="2"/>
      <c r="G67" s="2"/>
      <c r="H67" s="2"/>
      <c r="I67" s="4"/>
      <c r="J67" s="4"/>
      <c r="K67" s="4"/>
    </row>
    <row r="68" customFormat="false" ht="57.45" hidden="false" customHeight="false" outlineLevel="0" collapsed="false">
      <c r="A68" s="2" t="s">
        <v>142</v>
      </c>
      <c r="B68" s="2" t="s">
        <v>143</v>
      </c>
      <c r="C68" s="2" t="n">
        <v>2007</v>
      </c>
      <c r="D68" s="2" t="s">
        <v>39</v>
      </c>
      <c r="E68" s="2" t="s">
        <v>154</v>
      </c>
      <c r="F68" s="2"/>
      <c r="G68" s="2" t="s">
        <v>155</v>
      </c>
      <c r="H68" s="2"/>
      <c r="I68" s="4"/>
      <c r="J68" s="4"/>
      <c r="K68" s="4"/>
    </row>
    <row r="69" customFormat="false" ht="46.25" hidden="false" customHeight="false" outlineLevel="0" collapsed="false">
      <c r="A69" s="2" t="s">
        <v>142</v>
      </c>
      <c r="B69" s="2" t="s">
        <v>143</v>
      </c>
      <c r="C69" s="2" t="n">
        <v>2007</v>
      </c>
      <c r="D69" s="2" t="s">
        <v>57</v>
      </c>
      <c r="E69" s="2" t="s">
        <v>58</v>
      </c>
      <c r="F69" s="2" t="s">
        <v>152</v>
      </c>
      <c r="G69" s="2" t="s">
        <v>153</v>
      </c>
      <c r="H69" s="2"/>
      <c r="I69" s="4"/>
      <c r="J69" s="4"/>
      <c r="K69" s="4"/>
    </row>
    <row r="70" customFormat="false" ht="35.05" hidden="false" customHeight="false" outlineLevel="0" collapsed="false">
      <c r="A70" s="2" t="s">
        <v>156</v>
      </c>
      <c r="B70" s="2" t="s">
        <v>157</v>
      </c>
      <c r="C70" s="2" t="n">
        <v>2008</v>
      </c>
      <c r="D70" s="2" t="s">
        <v>20</v>
      </c>
      <c r="E70" s="2" t="s">
        <v>158</v>
      </c>
      <c r="F70" s="2" t="s">
        <v>159</v>
      </c>
      <c r="G70" s="2" t="s">
        <v>160</v>
      </c>
      <c r="H70" s="2"/>
      <c r="I70" s="4"/>
      <c r="J70" s="4"/>
      <c r="K70" s="4"/>
    </row>
    <row r="71" customFormat="false" ht="23.85" hidden="false" customHeight="false" outlineLevel="0" collapsed="false">
      <c r="A71" s="2" t="s">
        <v>156</v>
      </c>
      <c r="B71" s="2" t="s">
        <v>157</v>
      </c>
      <c r="C71" s="2" t="n">
        <v>2008</v>
      </c>
      <c r="D71" s="2" t="s">
        <v>24</v>
      </c>
      <c r="E71" s="2" t="s">
        <v>161</v>
      </c>
      <c r="F71" s="2"/>
      <c r="G71" s="2" t="s">
        <v>162</v>
      </c>
      <c r="H71" s="2"/>
      <c r="I71" s="4"/>
      <c r="J71" s="4"/>
      <c r="K71" s="4"/>
    </row>
    <row r="72" customFormat="false" ht="15" hidden="false" customHeight="false" outlineLevel="0" collapsed="false">
      <c r="A72" s="2" t="s">
        <v>156</v>
      </c>
      <c r="B72" s="2" t="s">
        <v>157</v>
      </c>
      <c r="C72" s="2" t="n">
        <v>2008</v>
      </c>
      <c r="D72" s="2" t="s">
        <v>27</v>
      </c>
      <c r="E72" s="2" t="s">
        <v>49</v>
      </c>
      <c r="F72" s="2"/>
      <c r="G72" s="2"/>
      <c r="H72" s="2"/>
      <c r="I72" s="4"/>
      <c r="J72" s="4"/>
      <c r="K72" s="4"/>
    </row>
    <row r="73" customFormat="false" ht="23.85" hidden="false" customHeight="false" outlineLevel="0" collapsed="false">
      <c r="A73" s="2" t="s">
        <v>156</v>
      </c>
      <c r="B73" s="2" t="s">
        <v>157</v>
      </c>
      <c r="C73" s="2" t="n">
        <v>2008</v>
      </c>
      <c r="D73" s="2" t="s">
        <v>31</v>
      </c>
      <c r="E73" s="2" t="s">
        <v>95</v>
      </c>
      <c r="F73" s="2" t="s">
        <v>163</v>
      </c>
      <c r="G73" s="2" t="s">
        <v>164</v>
      </c>
      <c r="H73" s="2"/>
      <c r="I73" s="4"/>
      <c r="J73" s="4"/>
      <c r="K73" s="4"/>
    </row>
    <row r="74" customFormat="false" ht="57.45" hidden="false" customHeight="false" outlineLevel="0" collapsed="false">
      <c r="A74" s="2" t="s">
        <v>156</v>
      </c>
      <c r="B74" s="2" t="s">
        <v>157</v>
      </c>
      <c r="C74" s="2" t="n">
        <v>2008</v>
      </c>
      <c r="D74" s="2" t="s">
        <v>33</v>
      </c>
      <c r="E74" s="2" t="s">
        <v>165</v>
      </c>
      <c r="F74" s="2" t="s">
        <v>166</v>
      </c>
      <c r="G74" s="2" t="s">
        <v>167</v>
      </c>
      <c r="H74" s="2"/>
      <c r="I74" s="4"/>
      <c r="J74" s="4"/>
      <c r="K74" s="4"/>
    </row>
    <row r="75" customFormat="false" ht="15" hidden="false" customHeight="false" outlineLevel="0" collapsed="false">
      <c r="A75" s="2" t="s">
        <v>156</v>
      </c>
      <c r="B75" s="2" t="s">
        <v>157</v>
      </c>
      <c r="C75" s="2" t="n">
        <v>2008</v>
      </c>
      <c r="D75" s="2" t="s">
        <v>37</v>
      </c>
      <c r="E75" s="2" t="s">
        <v>38</v>
      </c>
      <c r="F75" s="2"/>
      <c r="G75" s="2"/>
      <c r="H75" s="2"/>
      <c r="I75" s="4"/>
      <c r="J75" s="4"/>
      <c r="K75" s="4"/>
    </row>
    <row r="76" customFormat="false" ht="15" hidden="false" customHeight="false" outlineLevel="0" collapsed="false">
      <c r="A76" s="2" t="s">
        <v>156</v>
      </c>
      <c r="B76" s="2" t="s">
        <v>157</v>
      </c>
      <c r="C76" s="2" t="n">
        <v>2008</v>
      </c>
      <c r="D76" s="2" t="s">
        <v>39</v>
      </c>
      <c r="E76" s="2" t="s">
        <v>38</v>
      </c>
      <c r="F76" s="2"/>
      <c r="G76" s="2"/>
      <c r="H76" s="2"/>
      <c r="I76" s="4"/>
      <c r="J76" s="4"/>
      <c r="K76" s="4"/>
    </row>
    <row r="77" customFormat="false" ht="23.85" hidden="false" customHeight="false" outlineLevel="0" collapsed="false">
      <c r="A77" s="2" t="s">
        <v>168</v>
      </c>
      <c r="B77" s="2" t="s">
        <v>169</v>
      </c>
      <c r="C77" s="2" t="n">
        <v>2008</v>
      </c>
      <c r="D77" s="2" t="s">
        <v>20</v>
      </c>
      <c r="E77" s="2" t="s">
        <v>158</v>
      </c>
      <c r="F77" s="2" t="s">
        <v>170</v>
      </c>
      <c r="G77" s="2" t="s">
        <v>171</v>
      </c>
      <c r="H77" s="2"/>
      <c r="I77" s="4"/>
      <c r="J77" s="4"/>
      <c r="K77" s="4"/>
    </row>
    <row r="78" customFormat="false" ht="23.85" hidden="false" customHeight="false" outlineLevel="0" collapsed="false">
      <c r="A78" s="2" t="s">
        <v>168</v>
      </c>
      <c r="B78" s="2" t="s">
        <v>169</v>
      </c>
      <c r="C78" s="2" t="n">
        <v>2008</v>
      </c>
      <c r="D78" s="2" t="s">
        <v>24</v>
      </c>
      <c r="E78" s="2" t="s">
        <v>172</v>
      </c>
      <c r="F78" s="2"/>
      <c r="G78" s="2" t="s">
        <v>173</v>
      </c>
      <c r="H78" s="2"/>
      <c r="I78" s="4"/>
      <c r="J78" s="4"/>
      <c r="K78" s="4"/>
    </row>
    <row r="79" customFormat="false" ht="46.25" hidden="false" customHeight="false" outlineLevel="0" collapsed="false">
      <c r="A79" s="2" t="s">
        <v>168</v>
      </c>
      <c r="B79" s="2" t="s">
        <v>169</v>
      </c>
      <c r="C79" s="2" t="n">
        <v>2008</v>
      </c>
      <c r="D79" s="2" t="s">
        <v>27</v>
      </c>
      <c r="E79" s="2" t="s">
        <v>174</v>
      </c>
      <c r="F79" s="2" t="s">
        <v>175</v>
      </c>
      <c r="G79" s="2" t="s">
        <v>176</v>
      </c>
      <c r="H79" s="2"/>
      <c r="I79" s="4"/>
      <c r="J79" s="4"/>
      <c r="K79" s="4"/>
    </row>
    <row r="80" customFormat="false" ht="35.05" hidden="false" customHeight="false" outlineLevel="0" collapsed="false">
      <c r="A80" s="2" t="s">
        <v>168</v>
      </c>
      <c r="B80" s="2" t="s">
        <v>169</v>
      </c>
      <c r="C80" s="2" t="n">
        <v>2008</v>
      </c>
      <c r="D80" s="2" t="s">
        <v>31</v>
      </c>
      <c r="E80" s="2" t="s">
        <v>177</v>
      </c>
      <c r="F80" s="2" t="s">
        <v>178</v>
      </c>
      <c r="G80" s="2" t="s">
        <v>179</v>
      </c>
      <c r="H80" s="2"/>
      <c r="I80" s="4"/>
      <c r="J80" s="4"/>
      <c r="K80" s="4"/>
    </row>
    <row r="81" customFormat="false" ht="35.05" hidden="false" customHeight="false" outlineLevel="0" collapsed="false">
      <c r="A81" s="2" t="s">
        <v>168</v>
      </c>
      <c r="B81" s="2" t="s">
        <v>169</v>
      </c>
      <c r="C81" s="2" t="n">
        <v>2008</v>
      </c>
      <c r="D81" s="2" t="s">
        <v>33</v>
      </c>
      <c r="E81" s="2" t="s">
        <v>180</v>
      </c>
      <c r="F81" s="2" t="s">
        <v>181</v>
      </c>
      <c r="G81" s="2" t="s">
        <v>182</v>
      </c>
      <c r="H81" s="2"/>
      <c r="I81" s="4"/>
      <c r="J81" s="4"/>
      <c r="K81" s="4"/>
    </row>
    <row r="82" customFormat="false" ht="15" hidden="false" customHeight="false" outlineLevel="0" collapsed="false">
      <c r="A82" s="2" t="s">
        <v>168</v>
      </c>
      <c r="B82" s="2" t="s">
        <v>169</v>
      </c>
      <c r="C82" s="2" t="n">
        <v>2008</v>
      </c>
      <c r="D82" s="2" t="s">
        <v>37</v>
      </c>
      <c r="E82" s="2" t="s">
        <v>183</v>
      </c>
      <c r="F82" s="2"/>
      <c r="G82" s="2" t="s">
        <v>184</v>
      </c>
      <c r="H82" s="2"/>
      <c r="I82" s="4"/>
      <c r="J82" s="4"/>
      <c r="K82" s="4"/>
    </row>
    <row r="83" customFormat="false" ht="46.25" hidden="false" customHeight="false" outlineLevel="0" collapsed="false">
      <c r="A83" s="2" t="s">
        <v>168</v>
      </c>
      <c r="B83" s="2" t="s">
        <v>169</v>
      </c>
      <c r="C83" s="2" t="n">
        <v>2008</v>
      </c>
      <c r="D83" s="2" t="s">
        <v>39</v>
      </c>
      <c r="E83" s="2" t="s">
        <v>185</v>
      </c>
      <c r="F83" s="2"/>
      <c r="G83" s="2" t="s">
        <v>186</v>
      </c>
      <c r="H83" s="2"/>
      <c r="I83" s="4"/>
      <c r="J83" s="4"/>
      <c r="K83" s="4"/>
    </row>
    <row r="84" customFormat="false" ht="23.85" hidden="false" customHeight="false" outlineLevel="0" collapsed="false">
      <c r="A84" s="2" t="s">
        <v>187</v>
      </c>
      <c r="B84" s="2" t="s">
        <v>188</v>
      </c>
      <c r="C84" s="2" t="n">
        <v>2009</v>
      </c>
      <c r="D84" s="2" t="s">
        <v>20</v>
      </c>
      <c r="E84" s="2" t="s">
        <v>49</v>
      </c>
      <c r="F84" s="2"/>
      <c r="G84" s="2"/>
      <c r="H84" s="2"/>
      <c r="I84" s="4"/>
      <c r="J84" s="4"/>
      <c r="K84" s="4"/>
    </row>
    <row r="85" customFormat="false" ht="23.85" hidden="false" customHeight="false" outlineLevel="0" collapsed="false">
      <c r="A85" s="2" t="s">
        <v>187</v>
      </c>
      <c r="B85" s="2" t="s">
        <v>188</v>
      </c>
      <c r="C85" s="2" t="n">
        <v>2009</v>
      </c>
      <c r="D85" s="2" t="s">
        <v>24</v>
      </c>
      <c r="E85" s="2" t="s">
        <v>189</v>
      </c>
      <c r="F85" s="2"/>
      <c r="G85" s="2" t="s">
        <v>190</v>
      </c>
      <c r="H85" s="2"/>
      <c r="I85" s="4"/>
      <c r="J85" s="4"/>
      <c r="K85" s="4"/>
    </row>
    <row r="86" customFormat="false" ht="23.85" hidden="false" customHeight="false" outlineLevel="0" collapsed="false">
      <c r="A86" s="2" t="s">
        <v>187</v>
      </c>
      <c r="B86" s="2" t="s">
        <v>188</v>
      </c>
      <c r="C86" s="2" t="n">
        <v>2009</v>
      </c>
      <c r="D86" s="2" t="s">
        <v>27</v>
      </c>
      <c r="E86" s="2" t="s">
        <v>49</v>
      </c>
      <c r="F86" s="2"/>
      <c r="G86" s="2"/>
      <c r="H86" s="2"/>
      <c r="I86" s="4"/>
      <c r="J86" s="4"/>
      <c r="K86" s="4"/>
    </row>
    <row r="87" customFormat="false" ht="35.05" hidden="false" customHeight="false" outlineLevel="0" collapsed="false">
      <c r="A87" s="2" t="s">
        <v>187</v>
      </c>
      <c r="B87" s="2" t="s">
        <v>188</v>
      </c>
      <c r="C87" s="2" t="n">
        <v>2009</v>
      </c>
      <c r="D87" s="2" t="s">
        <v>31</v>
      </c>
      <c r="E87" s="2" t="s">
        <v>95</v>
      </c>
      <c r="F87" s="2" t="s">
        <v>191</v>
      </c>
      <c r="G87" s="2" t="s">
        <v>192</v>
      </c>
      <c r="H87" s="2"/>
      <c r="I87" s="4"/>
      <c r="J87" s="4"/>
      <c r="K87" s="4"/>
    </row>
    <row r="88" customFormat="false" ht="35.05" hidden="false" customHeight="false" outlineLevel="0" collapsed="false">
      <c r="A88" s="2" t="s">
        <v>187</v>
      </c>
      <c r="B88" s="2" t="s">
        <v>188</v>
      </c>
      <c r="C88" s="2" t="n">
        <v>2009</v>
      </c>
      <c r="D88" s="2" t="s">
        <v>33</v>
      </c>
      <c r="E88" s="2" t="s">
        <v>193</v>
      </c>
      <c r="F88" s="2" t="s">
        <v>194</v>
      </c>
      <c r="G88" s="2" t="s">
        <v>195</v>
      </c>
      <c r="H88" s="2"/>
      <c r="I88" s="4"/>
      <c r="J88" s="4"/>
      <c r="K88" s="4"/>
    </row>
    <row r="89" customFormat="false" ht="35.05" hidden="false" customHeight="false" outlineLevel="0" collapsed="false">
      <c r="A89" s="2" t="s">
        <v>187</v>
      </c>
      <c r="B89" s="2" t="s">
        <v>188</v>
      </c>
      <c r="C89" s="2" t="n">
        <v>2009</v>
      </c>
      <c r="D89" s="2" t="s">
        <v>37</v>
      </c>
      <c r="E89" s="2" t="s">
        <v>38</v>
      </c>
      <c r="F89" s="2"/>
      <c r="G89" s="2" t="s">
        <v>196</v>
      </c>
      <c r="H89" s="2"/>
      <c r="I89" s="4"/>
      <c r="J89" s="4"/>
      <c r="K89" s="4"/>
    </row>
    <row r="90" customFormat="false" ht="68.65" hidden="false" customHeight="false" outlineLevel="0" collapsed="false">
      <c r="A90" s="2" t="s">
        <v>187</v>
      </c>
      <c r="B90" s="2" t="s">
        <v>188</v>
      </c>
      <c r="C90" s="2" t="n">
        <v>2009</v>
      </c>
      <c r="D90" s="2" t="s">
        <v>39</v>
      </c>
      <c r="E90" s="2" t="s">
        <v>197</v>
      </c>
      <c r="F90" s="2"/>
      <c r="G90" s="2" t="s">
        <v>198</v>
      </c>
      <c r="H90" s="2"/>
      <c r="I90" s="4"/>
      <c r="J90" s="4"/>
      <c r="K90" s="4"/>
    </row>
    <row r="91" customFormat="false" ht="23.85" hidden="false" customHeight="false" outlineLevel="0" collapsed="false">
      <c r="A91" s="2" t="s">
        <v>199</v>
      </c>
      <c r="B91" s="2" t="s">
        <v>200</v>
      </c>
      <c r="C91" s="2" t="n">
        <v>2009</v>
      </c>
      <c r="D91" s="2" t="s">
        <v>20</v>
      </c>
      <c r="E91" s="2" t="s">
        <v>201</v>
      </c>
      <c r="F91" s="2" t="s">
        <v>202</v>
      </c>
      <c r="G91" s="2" t="s">
        <v>203</v>
      </c>
      <c r="H91" s="2"/>
      <c r="I91" s="4"/>
      <c r="J91" s="4"/>
      <c r="K91" s="4"/>
    </row>
    <row r="92" customFormat="false" ht="23.85" hidden="false" customHeight="false" outlineLevel="0" collapsed="false">
      <c r="A92" s="2" t="s">
        <v>199</v>
      </c>
      <c r="B92" s="2" t="s">
        <v>200</v>
      </c>
      <c r="C92" s="2" t="n">
        <v>2009</v>
      </c>
      <c r="D92" s="2" t="s">
        <v>24</v>
      </c>
      <c r="E92" s="2" t="s">
        <v>25</v>
      </c>
      <c r="F92" s="2"/>
      <c r="G92" s="2" t="s">
        <v>204</v>
      </c>
      <c r="H92" s="2"/>
      <c r="I92" s="4"/>
      <c r="J92" s="4"/>
      <c r="K92" s="4"/>
    </row>
    <row r="93" customFormat="false" ht="15" hidden="false" customHeight="false" outlineLevel="0" collapsed="false">
      <c r="A93" s="2" t="s">
        <v>199</v>
      </c>
      <c r="B93" s="2" t="s">
        <v>200</v>
      </c>
      <c r="C93" s="2" t="n">
        <v>2009</v>
      </c>
      <c r="D93" s="2" t="s">
        <v>27</v>
      </c>
      <c r="E93" s="2" t="s">
        <v>49</v>
      </c>
      <c r="F93" s="2"/>
      <c r="G93" s="2"/>
      <c r="H93" s="2"/>
      <c r="I93" s="4"/>
      <c r="J93" s="4"/>
      <c r="K93" s="4"/>
    </row>
    <row r="94" customFormat="false" ht="35.05" hidden="false" customHeight="false" outlineLevel="0" collapsed="false">
      <c r="A94" s="2" t="s">
        <v>199</v>
      </c>
      <c r="B94" s="2" t="s">
        <v>200</v>
      </c>
      <c r="C94" s="2" t="n">
        <v>2009</v>
      </c>
      <c r="D94" s="2" t="s">
        <v>31</v>
      </c>
      <c r="E94" s="2" t="s">
        <v>95</v>
      </c>
      <c r="F94" s="2" t="s">
        <v>205</v>
      </c>
      <c r="G94" s="2" t="s">
        <v>206</v>
      </c>
      <c r="H94" s="2"/>
      <c r="I94" s="4"/>
      <c r="J94" s="4"/>
      <c r="K94" s="4"/>
    </row>
    <row r="95" customFormat="false" ht="46.25" hidden="false" customHeight="false" outlineLevel="0" collapsed="false">
      <c r="A95" s="2" t="s">
        <v>199</v>
      </c>
      <c r="B95" s="2" t="s">
        <v>200</v>
      </c>
      <c r="C95" s="2" t="n">
        <v>2009</v>
      </c>
      <c r="D95" s="2" t="s">
        <v>33</v>
      </c>
      <c r="E95" s="2" t="s">
        <v>207</v>
      </c>
      <c r="F95" s="2" t="s">
        <v>208</v>
      </c>
      <c r="G95" s="2" t="s">
        <v>209</v>
      </c>
      <c r="H95" s="2"/>
      <c r="I95" s="4"/>
      <c r="J95" s="4"/>
      <c r="K95" s="4"/>
    </row>
    <row r="96" customFormat="false" ht="15" hidden="false" customHeight="false" outlineLevel="0" collapsed="false">
      <c r="A96" s="2" t="s">
        <v>199</v>
      </c>
      <c r="B96" s="2" t="s">
        <v>200</v>
      </c>
      <c r="C96" s="2" t="n">
        <v>2009</v>
      </c>
      <c r="D96" s="2" t="s">
        <v>37</v>
      </c>
      <c r="E96" s="2" t="s">
        <v>38</v>
      </c>
      <c r="F96" s="2"/>
      <c r="G96" s="2"/>
      <c r="H96" s="2"/>
      <c r="I96" s="4"/>
      <c r="J96" s="4"/>
      <c r="K96" s="4"/>
    </row>
    <row r="97" customFormat="false" ht="57.45" hidden="false" customHeight="false" outlineLevel="0" collapsed="false">
      <c r="A97" s="2" t="s">
        <v>199</v>
      </c>
      <c r="B97" s="2" t="s">
        <v>200</v>
      </c>
      <c r="C97" s="2" t="n">
        <v>2009</v>
      </c>
      <c r="D97" s="2" t="s">
        <v>39</v>
      </c>
      <c r="E97" s="2" t="s">
        <v>210</v>
      </c>
      <c r="F97" s="2"/>
      <c r="G97" s="2" t="s">
        <v>211</v>
      </c>
      <c r="H97" s="2"/>
      <c r="I97" s="4"/>
      <c r="J97" s="4"/>
      <c r="K97" s="4"/>
    </row>
    <row r="98" customFormat="false" ht="23.85" hidden="false" customHeight="false" outlineLevel="0" collapsed="false">
      <c r="A98" s="2" t="s">
        <v>212</v>
      </c>
      <c r="B98" s="2" t="s">
        <v>213</v>
      </c>
      <c r="C98" s="2" t="n">
        <v>2009</v>
      </c>
      <c r="D98" s="2" t="s">
        <v>20</v>
      </c>
      <c r="E98" s="2" t="s">
        <v>49</v>
      </c>
      <c r="F98" s="2"/>
      <c r="G98" s="2"/>
      <c r="H98" s="2"/>
      <c r="I98" s="4"/>
      <c r="J98" s="4"/>
      <c r="K98" s="4"/>
    </row>
    <row r="99" customFormat="false" ht="23.85" hidden="false" customHeight="false" outlineLevel="0" collapsed="false">
      <c r="A99" s="2" t="s">
        <v>212</v>
      </c>
      <c r="B99" s="2" t="s">
        <v>213</v>
      </c>
      <c r="C99" s="2" t="n">
        <v>2009</v>
      </c>
      <c r="D99" s="2" t="s">
        <v>24</v>
      </c>
      <c r="E99" s="2" t="s">
        <v>93</v>
      </c>
      <c r="F99" s="2"/>
      <c r="G99" s="2" t="s">
        <v>214</v>
      </c>
      <c r="H99" s="2"/>
      <c r="I99" s="4"/>
      <c r="J99" s="4"/>
      <c r="K99" s="4"/>
    </row>
    <row r="100" customFormat="false" ht="23.85" hidden="false" customHeight="false" outlineLevel="0" collapsed="false">
      <c r="A100" s="2" t="s">
        <v>212</v>
      </c>
      <c r="B100" s="2" t="s">
        <v>213</v>
      </c>
      <c r="C100" s="2" t="n">
        <v>2009</v>
      </c>
      <c r="D100" s="2" t="s">
        <v>27</v>
      </c>
      <c r="E100" s="2" t="s">
        <v>49</v>
      </c>
      <c r="F100" s="2"/>
      <c r="G100" s="2"/>
      <c r="H100" s="2"/>
      <c r="I100" s="4"/>
      <c r="J100" s="4"/>
      <c r="K100" s="4"/>
    </row>
    <row r="101" customFormat="false" ht="23.85" hidden="false" customHeight="false" outlineLevel="0" collapsed="false">
      <c r="A101" s="2" t="s">
        <v>212</v>
      </c>
      <c r="B101" s="2" t="s">
        <v>213</v>
      </c>
      <c r="C101" s="2" t="n">
        <v>2009</v>
      </c>
      <c r="D101" s="2" t="s">
        <v>31</v>
      </c>
      <c r="E101" s="2" t="s">
        <v>95</v>
      </c>
      <c r="F101" s="2" t="s">
        <v>215</v>
      </c>
      <c r="G101" s="2" t="s">
        <v>216</v>
      </c>
      <c r="H101" s="2"/>
      <c r="I101" s="4"/>
      <c r="J101" s="4"/>
      <c r="K101" s="4"/>
    </row>
    <row r="102" customFormat="false" ht="35.05" hidden="false" customHeight="false" outlineLevel="0" collapsed="false">
      <c r="A102" s="2" t="s">
        <v>212</v>
      </c>
      <c r="B102" s="2" t="s">
        <v>213</v>
      </c>
      <c r="C102" s="2" t="n">
        <v>2009</v>
      </c>
      <c r="D102" s="2" t="s">
        <v>33</v>
      </c>
      <c r="E102" s="2" t="s">
        <v>217</v>
      </c>
      <c r="F102" s="2" t="s">
        <v>218</v>
      </c>
      <c r="G102" s="2" t="s">
        <v>219</v>
      </c>
      <c r="H102" s="2"/>
      <c r="I102" s="4"/>
      <c r="J102" s="4"/>
      <c r="K102" s="4"/>
    </row>
    <row r="103" customFormat="false" ht="23.85" hidden="false" customHeight="false" outlineLevel="0" collapsed="false">
      <c r="A103" s="2" t="s">
        <v>212</v>
      </c>
      <c r="B103" s="2" t="s">
        <v>213</v>
      </c>
      <c r="C103" s="2" t="n">
        <v>2009</v>
      </c>
      <c r="D103" s="2" t="s">
        <v>37</v>
      </c>
      <c r="E103" s="2" t="s">
        <v>38</v>
      </c>
      <c r="F103" s="2"/>
      <c r="G103" s="2"/>
      <c r="H103" s="2"/>
      <c r="I103" s="4"/>
      <c r="J103" s="4"/>
      <c r="K103" s="4"/>
    </row>
    <row r="104" customFormat="false" ht="23.85" hidden="false" customHeight="false" outlineLevel="0" collapsed="false">
      <c r="A104" s="2" t="s">
        <v>212</v>
      </c>
      <c r="B104" s="2" t="s">
        <v>213</v>
      </c>
      <c r="C104" s="2" t="n">
        <v>2009</v>
      </c>
      <c r="D104" s="2" t="s">
        <v>39</v>
      </c>
      <c r="E104" s="2" t="s">
        <v>38</v>
      </c>
      <c r="F104" s="2"/>
      <c r="G104" s="2"/>
      <c r="H104" s="2"/>
      <c r="I104" s="4"/>
      <c r="J104" s="4"/>
      <c r="K104" s="4"/>
    </row>
    <row r="105" customFormat="false" ht="15" hidden="false" customHeight="false" outlineLevel="0" collapsed="false">
      <c r="A105" s="2" t="s">
        <v>220</v>
      </c>
      <c r="B105" s="2" t="s">
        <v>129</v>
      </c>
      <c r="C105" s="2" t="n">
        <v>2010</v>
      </c>
      <c r="D105" s="2" t="s">
        <v>20</v>
      </c>
      <c r="E105" s="2" t="s">
        <v>49</v>
      </c>
      <c r="F105" s="2"/>
      <c r="G105" s="2"/>
      <c r="H105" s="2"/>
      <c r="I105" s="4"/>
      <c r="J105" s="4"/>
      <c r="K105" s="4"/>
    </row>
    <row r="106" customFormat="false" ht="46.25" hidden="false" customHeight="false" outlineLevel="0" collapsed="false">
      <c r="A106" s="2" t="s">
        <v>220</v>
      </c>
      <c r="B106" s="2" t="s">
        <v>129</v>
      </c>
      <c r="C106" s="2" t="n">
        <v>2010</v>
      </c>
      <c r="D106" s="2" t="s">
        <v>24</v>
      </c>
      <c r="E106" s="2" t="s">
        <v>130</v>
      </c>
      <c r="F106" s="2"/>
      <c r="G106" s="2" t="s">
        <v>221</v>
      </c>
      <c r="H106" s="2"/>
      <c r="I106" s="4"/>
      <c r="J106" s="4"/>
      <c r="K106" s="4"/>
    </row>
    <row r="107" customFormat="false" ht="46.25" hidden="false" customHeight="false" outlineLevel="0" collapsed="false">
      <c r="A107" s="2" t="s">
        <v>220</v>
      </c>
      <c r="B107" s="2" t="s">
        <v>129</v>
      </c>
      <c r="C107" s="2" t="n">
        <v>2010</v>
      </c>
      <c r="D107" s="2" t="s">
        <v>27</v>
      </c>
      <c r="E107" s="2" t="s">
        <v>222</v>
      </c>
      <c r="F107" s="2" t="s">
        <v>223</v>
      </c>
      <c r="G107" s="2" t="s">
        <v>224</v>
      </c>
      <c r="H107" s="2"/>
      <c r="I107" s="4"/>
      <c r="J107" s="4"/>
      <c r="K107" s="4"/>
    </row>
    <row r="108" customFormat="false" ht="35.05" hidden="false" customHeight="false" outlineLevel="0" collapsed="false">
      <c r="A108" s="2" t="s">
        <v>220</v>
      </c>
      <c r="B108" s="2" t="s">
        <v>129</v>
      </c>
      <c r="C108" s="2" t="n">
        <v>2010</v>
      </c>
      <c r="D108" s="2" t="s">
        <v>31</v>
      </c>
      <c r="E108" s="2" t="s">
        <v>95</v>
      </c>
      <c r="F108" s="2" t="s">
        <v>225</v>
      </c>
      <c r="G108" s="2" t="s">
        <v>226</v>
      </c>
      <c r="H108" s="2"/>
      <c r="I108" s="4"/>
      <c r="J108" s="4"/>
      <c r="K108" s="4"/>
    </row>
    <row r="109" customFormat="false" ht="68.65" hidden="false" customHeight="false" outlineLevel="0" collapsed="false">
      <c r="A109" s="2" t="s">
        <v>220</v>
      </c>
      <c r="B109" s="2" t="s">
        <v>129</v>
      </c>
      <c r="C109" s="2" t="n">
        <v>2010</v>
      </c>
      <c r="D109" s="2" t="s">
        <v>33</v>
      </c>
      <c r="E109" s="2" t="s">
        <v>136</v>
      </c>
      <c r="F109" s="2" t="s">
        <v>227</v>
      </c>
      <c r="G109" s="2" t="s">
        <v>228</v>
      </c>
      <c r="H109" s="2"/>
      <c r="I109" s="4"/>
      <c r="J109" s="4"/>
      <c r="K109" s="4"/>
    </row>
    <row r="110" customFormat="false" ht="46.25" hidden="false" customHeight="false" outlineLevel="0" collapsed="false">
      <c r="A110" s="2" t="s">
        <v>220</v>
      </c>
      <c r="B110" s="2" t="s">
        <v>129</v>
      </c>
      <c r="C110" s="2" t="n">
        <v>2010</v>
      </c>
      <c r="D110" s="2" t="s">
        <v>37</v>
      </c>
      <c r="E110" s="2" t="s">
        <v>38</v>
      </c>
      <c r="F110" s="2"/>
      <c r="G110" s="2" t="s">
        <v>229</v>
      </c>
      <c r="H110" s="2"/>
      <c r="I110" s="4"/>
      <c r="J110" s="4"/>
      <c r="K110" s="4"/>
    </row>
    <row r="111" customFormat="false" ht="57.45" hidden="false" customHeight="false" outlineLevel="0" collapsed="false">
      <c r="A111" s="2" t="s">
        <v>220</v>
      </c>
      <c r="B111" s="2" t="s">
        <v>129</v>
      </c>
      <c r="C111" s="2" t="n">
        <v>2010</v>
      </c>
      <c r="D111" s="2" t="s">
        <v>39</v>
      </c>
      <c r="E111" s="2" t="s">
        <v>230</v>
      </c>
      <c r="F111" s="2"/>
      <c r="G111" s="2" t="s">
        <v>231</v>
      </c>
      <c r="H111" s="2"/>
      <c r="I111" s="4"/>
      <c r="J111" s="4"/>
      <c r="K111" s="4"/>
    </row>
    <row r="112" customFormat="false" ht="46.25" hidden="false" customHeight="false" outlineLevel="0" collapsed="false">
      <c r="A112" s="2" t="s">
        <v>232</v>
      </c>
      <c r="B112" s="2" t="s">
        <v>233</v>
      </c>
      <c r="C112" s="2" t="n">
        <v>2010</v>
      </c>
      <c r="D112" s="2" t="s">
        <v>20</v>
      </c>
      <c r="E112" s="2" t="s">
        <v>234</v>
      </c>
      <c r="F112" s="2" t="s">
        <v>235</v>
      </c>
      <c r="G112" s="2" t="s">
        <v>236</v>
      </c>
      <c r="H112" s="2"/>
      <c r="I112" s="4"/>
      <c r="J112" s="4"/>
      <c r="K112" s="4"/>
    </row>
    <row r="113" customFormat="false" ht="35.05" hidden="false" customHeight="false" outlineLevel="0" collapsed="false">
      <c r="A113" s="2" t="s">
        <v>232</v>
      </c>
      <c r="B113" s="2" t="s">
        <v>233</v>
      </c>
      <c r="C113" s="2" t="n">
        <v>2010</v>
      </c>
      <c r="D113" s="2" t="s">
        <v>24</v>
      </c>
      <c r="E113" s="2" t="s">
        <v>161</v>
      </c>
      <c r="F113" s="2"/>
      <c r="G113" s="2" t="s">
        <v>237</v>
      </c>
      <c r="H113" s="2"/>
      <c r="I113" s="4"/>
      <c r="J113" s="4"/>
      <c r="K113" s="4"/>
    </row>
    <row r="114" customFormat="false" ht="15" hidden="false" customHeight="false" outlineLevel="0" collapsed="false">
      <c r="A114" s="2" t="s">
        <v>232</v>
      </c>
      <c r="B114" s="2" t="s">
        <v>233</v>
      </c>
      <c r="C114" s="2" t="n">
        <v>2010</v>
      </c>
      <c r="D114" s="2" t="s">
        <v>27</v>
      </c>
      <c r="E114" s="2" t="s">
        <v>49</v>
      </c>
      <c r="F114" s="2"/>
      <c r="G114" s="2"/>
      <c r="H114" s="2"/>
      <c r="I114" s="4"/>
      <c r="J114" s="4"/>
      <c r="K114" s="4"/>
    </row>
    <row r="115" customFormat="false" ht="35.05" hidden="false" customHeight="false" outlineLevel="0" collapsed="false">
      <c r="A115" s="2" t="s">
        <v>232</v>
      </c>
      <c r="B115" s="2" t="s">
        <v>233</v>
      </c>
      <c r="C115" s="2" t="n">
        <v>2010</v>
      </c>
      <c r="D115" s="2" t="s">
        <v>31</v>
      </c>
      <c r="E115" s="2" t="s">
        <v>238</v>
      </c>
      <c r="F115" s="2" t="s">
        <v>239</v>
      </c>
      <c r="G115" s="2" t="s">
        <v>240</v>
      </c>
      <c r="H115" s="2"/>
      <c r="I115" s="4"/>
      <c r="J115" s="4"/>
      <c r="K115" s="4"/>
    </row>
    <row r="116" customFormat="false" ht="46.25" hidden="false" customHeight="false" outlineLevel="0" collapsed="false">
      <c r="A116" s="2" t="s">
        <v>232</v>
      </c>
      <c r="B116" s="2" t="s">
        <v>233</v>
      </c>
      <c r="C116" s="2" t="n">
        <v>2010</v>
      </c>
      <c r="D116" s="2" t="s">
        <v>33</v>
      </c>
      <c r="E116" s="2" t="s">
        <v>241</v>
      </c>
      <c r="F116" s="2" t="s">
        <v>242</v>
      </c>
      <c r="G116" s="2" t="s">
        <v>243</v>
      </c>
      <c r="H116" s="2"/>
      <c r="I116" s="4"/>
      <c r="J116" s="4"/>
      <c r="K116" s="4"/>
    </row>
    <row r="117" customFormat="false" ht="35.05" hidden="false" customHeight="false" outlineLevel="0" collapsed="false">
      <c r="A117" s="2" t="s">
        <v>232</v>
      </c>
      <c r="B117" s="2" t="s">
        <v>233</v>
      </c>
      <c r="C117" s="2" t="n">
        <v>2010</v>
      </c>
      <c r="D117" s="2" t="s">
        <v>37</v>
      </c>
      <c r="E117" s="2" t="s">
        <v>244</v>
      </c>
      <c r="F117" s="2"/>
      <c r="G117" s="2" t="s">
        <v>245</v>
      </c>
      <c r="H117" s="2"/>
      <c r="I117" s="4"/>
      <c r="J117" s="4"/>
      <c r="K117" s="4"/>
    </row>
    <row r="118" customFormat="false" ht="68.65" hidden="false" customHeight="false" outlineLevel="0" collapsed="false">
      <c r="A118" s="2" t="s">
        <v>232</v>
      </c>
      <c r="B118" s="2" t="s">
        <v>233</v>
      </c>
      <c r="C118" s="2" t="n">
        <v>2010</v>
      </c>
      <c r="D118" s="2" t="s">
        <v>39</v>
      </c>
      <c r="E118" s="2" t="s">
        <v>246</v>
      </c>
      <c r="F118" s="2"/>
      <c r="G118" s="2" t="s">
        <v>247</v>
      </c>
      <c r="H118" s="2"/>
      <c r="I118" s="4"/>
      <c r="J118" s="4"/>
      <c r="K118" s="4"/>
    </row>
    <row r="119" customFormat="false" ht="23.85" hidden="false" customHeight="false" outlineLevel="0" collapsed="false">
      <c r="A119" s="2" t="s">
        <v>248</v>
      </c>
      <c r="B119" s="2" t="s">
        <v>249</v>
      </c>
      <c r="C119" s="2" t="n">
        <v>2010</v>
      </c>
      <c r="D119" s="2" t="s">
        <v>20</v>
      </c>
      <c r="E119" s="2" t="s">
        <v>61</v>
      </c>
      <c r="F119" s="2" t="s">
        <v>250</v>
      </c>
      <c r="G119" s="2" t="s">
        <v>251</v>
      </c>
      <c r="H119" s="2"/>
      <c r="I119" s="4"/>
      <c r="J119" s="4"/>
      <c r="K119" s="4"/>
    </row>
    <row r="120" customFormat="false" ht="23.85" hidden="false" customHeight="false" outlineLevel="0" collapsed="false">
      <c r="A120" s="2" t="s">
        <v>248</v>
      </c>
      <c r="B120" s="2" t="s">
        <v>249</v>
      </c>
      <c r="C120" s="2" t="n">
        <v>2010</v>
      </c>
      <c r="D120" s="2" t="s">
        <v>24</v>
      </c>
      <c r="E120" s="2" t="s">
        <v>64</v>
      </c>
      <c r="F120" s="2"/>
      <c r="G120" s="2" t="s">
        <v>252</v>
      </c>
      <c r="H120" s="2"/>
      <c r="I120" s="4"/>
      <c r="J120" s="4"/>
      <c r="K120" s="4"/>
    </row>
    <row r="121" customFormat="false" ht="15" hidden="false" customHeight="false" outlineLevel="0" collapsed="false">
      <c r="A121" s="2" t="s">
        <v>248</v>
      </c>
      <c r="B121" s="2" t="s">
        <v>249</v>
      </c>
      <c r="C121" s="2" t="n">
        <v>2010</v>
      </c>
      <c r="D121" s="2" t="s">
        <v>27</v>
      </c>
      <c r="E121" s="2" t="s">
        <v>49</v>
      </c>
      <c r="F121" s="2"/>
      <c r="G121" s="2"/>
      <c r="H121" s="2"/>
      <c r="I121" s="4"/>
      <c r="J121" s="4"/>
      <c r="K121" s="4"/>
    </row>
    <row r="122" customFormat="false" ht="35.05" hidden="false" customHeight="false" outlineLevel="0" collapsed="false">
      <c r="A122" s="2" t="s">
        <v>248</v>
      </c>
      <c r="B122" s="2" t="s">
        <v>249</v>
      </c>
      <c r="C122" s="2" t="n">
        <v>2010</v>
      </c>
      <c r="D122" s="2" t="s">
        <v>31</v>
      </c>
      <c r="E122" s="2" t="s">
        <v>253</v>
      </c>
      <c r="F122" s="2" t="s">
        <v>254</v>
      </c>
      <c r="G122" s="2" t="s">
        <v>255</v>
      </c>
      <c r="H122" s="2"/>
      <c r="I122" s="4"/>
      <c r="J122" s="4"/>
      <c r="K122" s="4"/>
    </row>
    <row r="123" customFormat="false" ht="46.25" hidden="false" customHeight="false" outlineLevel="0" collapsed="false">
      <c r="A123" s="2" t="s">
        <v>248</v>
      </c>
      <c r="B123" s="2" t="s">
        <v>249</v>
      </c>
      <c r="C123" s="2" t="n">
        <v>2010</v>
      </c>
      <c r="D123" s="2" t="s">
        <v>33</v>
      </c>
      <c r="E123" s="2" t="s">
        <v>256</v>
      </c>
      <c r="F123" s="2" t="s">
        <v>257</v>
      </c>
      <c r="G123" s="2" t="s">
        <v>258</v>
      </c>
      <c r="H123" s="2"/>
      <c r="I123" s="4"/>
      <c r="J123" s="4"/>
      <c r="K123" s="4"/>
    </row>
    <row r="124" customFormat="false" ht="46.25" hidden="false" customHeight="false" outlineLevel="0" collapsed="false">
      <c r="A124" s="2" t="s">
        <v>248</v>
      </c>
      <c r="B124" s="2" t="s">
        <v>249</v>
      </c>
      <c r="C124" s="2" t="n">
        <v>2010</v>
      </c>
      <c r="D124" s="2" t="s">
        <v>37</v>
      </c>
      <c r="E124" s="2" t="s">
        <v>259</v>
      </c>
      <c r="F124" s="2"/>
      <c r="G124" s="2" t="s">
        <v>260</v>
      </c>
      <c r="H124" s="2"/>
      <c r="I124" s="4"/>
      <c r="J124" s="4"/>
      <c r="K124" s="4"/>
    </row>
    <row r="125" customFormat="false" ht="15" hidden="false" customHeight="false" outlineLevel="0" collapsed="false">
      <c r="A125" s="2" t="s">
        <v>248</v>
      </c>
      <c r="B125" s="2" t="s">
        <v>249</v>
      </c>
      <c r="C125" s="2" t="n">
        <v>2010</v>
      </c>
      <c r="D125" s="2" t="s">
        <v>39</v>
      </c>
      <c r="E125" s="2" t="s">
        <v>38</v>
      </c>
      <c r="F125" s="2"/>
      <c r="G125" s="2"/>
      <c r="H125" s="2"/>
      <c r="I125" s="4"/>
      <c r="J125" s="4"/>
      <c r="K125" s="4"/>
    </row>
    <row r="126" customFormat="false" ht="46.25" hidden="false" customHeight="false" outlineLevel="0" collapsed="false">
      <c r="A126" s="2" t="s">
        <v>261</v>
      </c>
      <c r="B126" s="2" t="s">
        <v>262</v>
      </c>
      <c r="C126" s="2" t="n">
        <v>2010</v>
      </c>
      <c r="D126" s="2" t="s">
        <v>20</v>
      </c>
      <c r="E126" s="2" t="s">
        <v>263</v>
      </c>
      <c r="F126" s="2" t="s">
        <v>264</v>
      </c>
      <c r="G126" s="2" t="s">
        <v>265</v>
      </c>
      <c r="H126" s="2" t="s">
        <v>266</v>
      </c>
      <c r="I126" s="4"/>
      <c r="J126" s="4"/>
      <c r="K126" s="4"/>
    </row>
    <row r="127" customFormat="false" ht="23.85" hidden="false" customHeight="false" outlineLevel="0" collapsed="false">
      <c r="A127" s="2" t="s">
        <v>261</v>
      </c>
      <c r="B127" s="2" t="s">
        <v>262</v>
      </c>
      <c r="C127" s="2" t="n">
        <v>2010</v>
      </c>
      <c r="D127" s="2" t="s">
        <v>24</v>
      </c>
      <c r="E127" s="2" t="s">
        <v>267</v>
      </c>
      <c r="F127" s="2"/>
      <c r="G127" s="2" t="s">
        <v>268</v>
      </c>
      <c r="H127" s="2" t="s">
        <v>266</v>
      </c>
      <c r="I127" s="4"/>
      <c r="J127" s="4"/>
      <c r="K127" s="4"/>
    </row>
    <row r="128" customFormat="false" ht="35.05" hidden="false" customHeight="false" outlineLevel="0" collapsed="false">
      <c r="A128" s="2" t="s">
        <v>261</v>
      </c>
      <c r="B128" s="2" t="s">
        <v>262</v>
      </c>
      <c r="C128" s="2" t="n">
        <v>2010</v>
      </c>
      <c r="D128" s="2" t="s">
        <v>27</v>
      </c>
      <c r="E128" s="2" t="s">
        <v>269</v>
      </c>
      <c r="F128" s="2" t="s">
        <v>270</v>
      </c>
      <c r="G128" s="2" t="s">
        <v>271</v>
      </c>
      <c r="H128" s="2" t="s">
        <v>266</v>
      </c>
      <c r="I128" s="4"/>
      <c r="J128" s="4"/>
      <c r="K128" s="4"/>
    </row>
    <row r="129" customFormat="false" ht="23.85" hidden="false" customHeight="false" outlineLevel="0" collapsed="false">
      <c r="A129" s="2" t="s">
        <v>261</v>
      </c>
      <c r="B129" s="2" t="s">
        <v>262</v>
      </c>
      <c r="C129" s="2" t="n">
        <v>2010</v>
      </c>
      <c r="D129" s="2" t="s">
        <v>31</v>
      </c>
      <c r="E129" s="2" t="s">
        <v>238</v>
      </c>
      <c r="F129" s="2" t="s">
        <v>272</v>
      </c>
      <c r="G129" s="2" t="s">
        <v>271</v>
      </c>
      <c r="H129" s="2" t="s">
        <v>266</v>
      </c>
      <c r="I129" s="4"/>
      <c r="J129" s="4"/>
      <c r="K129" s="4"/>
    </row>
    <row r="130" customFormat="false" ht="23.85" hidden="false" customHeight="false" outlineLevel="0" collapsed="false">
      <c r="A130" s="2" t="s">
        <v>261</v>
      </c>
      <c r="B130" s="2" t="s">
        <v>262</v>
      </c>
      <c r="C130" s="2" t="n">
        <v>2010</v>
      </c>
      <c r="D130" s="2" t="s">
        <v>33</v>
      </c>
      <c r="E130" s="2" t="s">
        <v>273</v>
      </c>
      <c r="F130" s="2" t="s">
        <v>274</v>
      </c>
      <c r="G130" s="2" t="s">
        <v>271</v>
      </c>
      <c r="H130" s="2" t="s">
        <v>266</v>
      </c>
      <c r="I130" s="4"/>
      <c r="J130" s="4"/>
      <c r="K130" s="4"/>
    </row>
    <row r="131" customFormat="false" ht="15" hidden="false" customHeight="false" outlineLevel="0" collapsed="false">
      <c r="A131" s="2" t="s">
        <v>261</v>
      </c>
      <c r="B131" s="2" t="s">
        <v>262</v>
      </c>
      <c r="C131" s="2" t="n">
        <v>2010</v>
      </c>
      <c r="D131" s="2" t="s">
        <v>37</v>
      </c>
      <c r="E131" s="2" t="s">
        <v>38</v>
      </c>
      <c r="F131" s="2"/>
      <c r="G131" s="2" t="s">
        <v>275</v>
      </c>
      <c r="H131" s="2" t="s">
        <v>266</v>
      </c>
      <c r="I131" s="4"/>
      <c r="J131" s="4"/>
      <c r="K131" s="4"/>
    </row>
    <row r="132" customFormat="false" ht="15" hidden="false" customHeight="false" outlineLevel="0" collapsed="false">
      <c r="A132" s="2" t="s">
        <v>261</v>
      </c>
      <c r="B132" s="2" t="s">
        <v>262</v>
      </c>
      <c r="C132" s="2" t="n">
        <v>2010</v>
      </c>
      <c r="D132" s="2" t="s">
        <v>39</v>
      </c>
      <c r="E132" s="2" t="s">
        <v>38</v>
      </c>
      <c r="F132" s="2"/>
      <c r="G132" s="2"/>
      <c r="H132" s="2" t="s">
        <v>266</v>
      </c>
      <c r="I132" s="4"/>
      <c r="J132" s="4"/>
      <c r="K132" s="4"/>
    </row>
    <row r="133" customFormat="false" ht="46.25" hidden="false" customHeight="false" outlineLevel="0" collapsed="false">
      <c r="A133" s="2" t="s">
        <v>276</v>
      </c>
      <c r="B133" s="2" t="s">
        <v>277</v>
      </c>
      <c r="C133" s="2" t="n">
        <v>2011</v>
      </c>
      <c r="D133" s="2" t="s">
        <v>20</v>
      </c>
      <c r="E133" s="2" t="s">
        <v>278</v>
      </c>
      <c r="F133" s="2" t="s">
        <v>279</v>
      </c>
      <c r="G133" s="2" t="s">
        <v>280</v>
      </c>
      <c r="H133" s="2"/>
      <c r="I133" s="4"/>
      <c r="J133" s="4"/>
      <c r="K133" s="4"/>
    </row>
    <row r="134" customFormat="false" ht="35.05" hidden="false" customHeight="false" outlineLevel="0" collapsed="false">
      <c r="A134" s="2" t="s">
        <v>276</v>
      </c>
      <c r="B134" s="2" t="s">
        <v>277</v>
      </c>
      <c r="C134" s="2" t="n">
        <v>2011</v>
      </c>
      <c r="D134" s="2" t="s">
        <v>24</v>
      </c>
      <c r="E134" s="2" t="s">
        <v>281</v>
      </c>
      <c r="F134" s="2"/>
      <c r="G134" s="2" t="s">
        <v>282</v>
      </c>
      <c r="H134" s="2"/>
      <c r="I134" s="4"/>
      <c r="J134" s="4"/>
      <c r="K134" s="4"/>
    </row>
    <row r="135" customFormat="false" ht="15" hidden="false" customHeight="false" outlineLevel="0" collapsed="false">
      <c r="A135" s="2" t="s">
        <v>276</v>
      </c>
      <c r="B135" s="2" t="s">
        <v>277</v>
      </c>
      <c r="C135" s="2" t="n">
        <v>2011</v>
      </c>
      <c r="D135" s="2" t="s">
        <v>27</v>
      </c>
      <c r="E135" s="2" t="s">
        <v>49</v>
      </c>
      <c r="F135" s="2"/>
      <c r="G135" s="2"/>
      <c r="H135" s="2"/>
      <c r="I135" s="4"/>
      <c r="J135" s="4"/>
      <c r="K135" s="4"/>
    </row>
    <row r="136" customFormat="false" ht="46.25" hidden="false" customHeight="false" outlineLevel="0" collapsed="false">
      <c r="A136" s="2" t="s">
        <v>276</v>
      </c>
      <c r="B136" s="2" t="s">
        <v>277</v>
      </c>
      <c r="C136" s="2" t="n">
        <v>2011</v>
      </c>
      <c r="D136" s="2" t="s">
        <v>31</v>
      </c>
      <c r="E136" s="2" t="s">
        <v>283</v>
      </c>
      <c r="F136" s="2" t="s">
        <v>284</v>
      </c>
      <c r="G136" s="2" t="s">
        <v>285</v>
      </c>
      <c r="H136" s="2"/>
      <c r="I136" s="4"/>
      <c r="J136" s="4"/>
      <c r="K136" s="4"/>
    </row>
    <row r="137" customFormat="false" ht="46.25" hidden="false" customHeight="false" outlineLevel="0" collapsed="false">
      <c r="A137" s="2" t="s">
        <v>276</v>
      </c>
      <c r="B137" s="2" t="s">
        <v>277</v>
      </c>
      <c r="C137" s="2" t="n">
        <v>2011</v>
      </c>
      <c r="D137" s="2" t="s">
        <v>33</v>
      </c>
      <c r="E137" s="2" t="s">
        <v>286</v>
      </c>
      <c r="F137" s="2" t="s">
        <v>287</v>
      </c>
      <c r="G137" s="2" t="s">
        <v>288</v>
      </c>
      <c r="H137" s="2"/>
      <c r="I137" s="4"/>
      <c r="J137" s="4"/>
      <c r="K137" s="4"/>
    </row>
    <row r="138" customFormat="false" ht="35.05" hidden="false" customHeight="false" outlineLevel="0" collapsed="false">
      <c r="A138" s="2" t="s">
        <v>276</v>
      </c>
      <c r="B138" s="2" t="s">
        <v>277</v>
      </c>
      <c r="C138" s="2" t="n">
        <v>2011</v>
      </c>
      <c r="D138" s="2" t="s">
        <v>37</v>
      </c>
      <c r="E138" s="2" t="s">
        <v>289</v>
      </c>
      <c r="F138" s="2"/>
      <c r="G138" s="2" t="s">
        <v>290</v>
      </c>
      <c r="H138" s="2"/>
      <c r="I138" s="4"/>
      <c r="J138" s="4"/>
      <c r="K138" s="4"/>
    </row>
    <row r="139" customFormat="false" ht="15" hidden="false" customHeight="false" outlineLevel="0" collapsed="false">
      <c r="A139" s="2" t="s">
        <v>276</v>
      </c>
      <c r="B139" s="2" t="s">
        <v>277</v>
      </c>
      <c r="C139" s="2" t="n">
        <v>2011</v>
      </c>
      <c r="D139" s="2" t="s">
        <v>39</v>
      </c>
      <c r="E139" s="2" t="s">
        <v>38</v>
      </c>
      <c r="F139" s="2"/>
      <c r="G139" s="2"/>
      <c r="H139" s="2"/>
      <c r="I139" s="4"/>
      <c r="J139" s="4"/>
      <c r="K139" s="4"/>
    </row>
    <row r="140" customFormat="false" ht="35.05" hidden="false" customHeight="false" outlineLevel="0" collapsed="false">
      <c r="A140" s="2" t="s">
        <v>291</v>
      </c>
      <c r="B140" s="2" t="s">
        <v>292</v>
      </c>
      <c r="C140" s="2" t="n">
        <v>2013</v>
      </c>
      <c r="D140" s="2" t="s">
        <v>20</v>
      </c>
      <c r="E140" s="2" t="s">
        <v>293</v>
      </c>
      <c r="F140" s="2" t="s">
        <v>294</v>
      </c>
      <c r="G140" s="2" t="s">
        <v>295</v>
      </c>
      <c r="H140" s="2"/>
      <c r="I140" s="4"/>
      <c r="J140" s="4"/>
      <c r="K140" s="4"/>
    </row>
    <row r="141" customFormat="false" ht="79.85" hidden="false" customHeight="false" outlineLevel="0" collapsed="false">
      <c r="A141" s="2" t="s">
        <v>291</v>
      </c>
      <c r="B141" s="2" t="s">
        <v>292</v>
      </c>
      <c r="C141" s="2" t="n">
        <v>2013</v>
      </c>
      <c r="D141" s="2" t="s">
        <v>24</v>
      </c>
      <c r="E141" s="2" t="s">
        <v>281</v>
      </c>
      <c r="F141" s="2"/>
      <c r="G141" s="2" t="s">
        <v>296</v>
      </c>
      <c r="H141" s="2"/>
      <c r="I141" s="4"/>
      <c r="J141" s="4"/>
      <c r="K141" s="4"/>
    </row>
    <row r="142" customFormat="false" ht="46.25" hidden="false" customHeight="false" outlineLevel="0" collapsed="false">
      <c r="A142" s="2" t="s">
        <v>291</v>
      </c>
      <c r="B142" s="2" t="s">
        <v>292</v>
      </c>
      <c r="C142" s="2" t="n">
        <v>2013</v>
      </c>
      <c r="D142" s="2" t="s">
        <v>27</v>
      </c>
      <c r="E142" s="2" t="s">
        <v>297</v>
      </c>
      <c r="F142" s="2" t="s">
        <v>298</v>
      </c>
      <c r="G142" s="2" t="s">
        <v>299</v>
      </c>
      <c r="H142" s="2"/>
      <c r="I142" s="4"/>
      <c r="J142" s="4"/>
      <c r="K142" s="4"/>
    </row>
    <row r="143" customFormat="false" ht="46.25" hidden="false" customHeight="false" outlineLevel="0" collapsed="false">
      <c r="A143" s="2" t="s">
        <v>291</v>
      </c>
      <c r="B143" s="2" t="s">
        <v>292</v>
      </c>
      <c r="C143" s="2" t="n">
        <v>2013</v>
      </c>
      <c r="D143" s="2" t="s">
        <v>31</v>
      </c>
      <c r="E143" s="2" t="s">
        <v>300</v>
      </c>
      <c r="F143" s="2" t="s">
        <v>301</v>
      </c>
      <c r="G143" s="2" t="s">
        <v>302</v>
      </c>
      <c r="H143" s="2"/>
      <c r="I143" s="4"/>
      <c r="J143" s="4"/>
      <c r="K143" s="4"/>
    </row>
    <row r="144" customFormat="false" ht="23.85" hidden="false" customHeight="false" outlineLevel="0" collapsed="false">
      <c r="A144" s="2" t="s">
        <v>291</v>
      </c>
      <c r="B144" s="2" t="s">
        <v>292</v>
      </c>
      <c r="C144" s="2" t="n">
        <v>2013</v>
      </c>
      <c r="D144" s="2" t="s">
        <v>33</v>
      </c>
      <c r="E144" s="2" t="s">
        <v>303</v>
      </c>
      <c r="F144" s="2" t="s">
        <v>304</v>
      </c>
      <c r="G144" s="2" t="s">
        <v>305</v>
      </c>
      <c r="H144" s="2"/>
      <c r="I144" s="4"/>
      <c r="J144" s="4"/>
      <c r="K144" s="4"/>
    </row>
    <row r="145" customFormat="false" ht="15" hidden="false" customHeight="false" outlineLevel="0" collapsed="false">
      <c r="A145" s="2" t="s">
        <v>291</v>
      </c>
      <c r="B145" s="2" t="s">
        <v>292</v>
      </c>
      <c r="C145" s="2" t="n">
        <v>2013</v>
      </c>
      <c r="D145" s="2" t="s">
        <v>37</v>
      </c>
      <c r="E145" s="2" t="s">
        <v>38</v>
      </c>
      <c r="F145" s="2"/>
      <c r="G145" s="2"/>
      <c r="H145" s="2"/>
      <c r="I145" s="4"/>
      <c r="J145" s="4"/>
      <c r="K145" s="4"/>
    </row>
    <row r="146" customFormat="false" ht="57.45" hidden="false" customHeight="false" outlineLevel="0" collapsed="false">
      <c r="A146" s="2" t="s">
        <v>291</v>
      </c>
      <c r="B146" s="2" t="s">
        <v>292</v>
      </c>
      <c r="C146" s="2" t="n">
        <v>2013</v>
      </c>
      <c r="D146" s="2" t="s">
        <v>39</v>
      </c>
      <c r="E146" s="2" t="s">
        <v>306</v>
      </c>
      <c r="F146" s="2"/>
      <c r="G146" s="2" t="s">
        <v>307</v>
      </c>
      <c r="H146" s="2"/>
      <c r="I146" s="4"/>
      <c r="J146" s="4"/>
      <c r="K146" s="4"/>
    </row>
    <row r="147" customFormat="false" ht="46.25" hidden="false" customHeight="false" outlineLevel="0" collapsed="false">
      <c r="A147" s="2" t="s">
        <v>291</v>
      </c>
      <c r="B147" s="2" t="s">
        <v>292</v>
      </c>
      <c r="C147" s="2" t="n">
        <v>2013</v>
      </c>
      <c r="D147" s="2" t="s">
        <v>57</v>
      </c>
      <c r="E147" s="2" t="s">
        <v>58</v>
      </c>
      <c r="F147" s="2" t="s">
        <v>301</v>
      </c>
      <c r="G147" s="2" t="s">
        <v>302</v>
      </c>
      <c r="H147" s="2"/>
      <c r="I147" s="4"/>
      <c r="J147" s="4"/>
      <c r="K147" s="4"/>
    </row>
    <row r="148" customFormat="false" ht="46.25" hidden="false" customHeight="false" outlineLevel="0" collapsed="false">
      <c r="A148" s="2" t="s">
        <v>308</v>
      </c>
      <c r="B148" s="2" t="s">
        <v>309</v>
      </c>
      <c r="C148" s="2" t="n">
        <v>2013</v>
      </c>
      <c r="D148" s="2" t="s">
        <v>20</v>
      </c>
      <c r="E148" s="2" t="s">
        <v>310</v>
      </c>
      <c r="F148" s="2" t="s">
        <v>311</v>
      </c>
      <c r="G148" s="2" t="s">
        <v>312</v>
      </c>
      <c r="H148" s="2"/>
      <c r="I148" s="4"/>
      <c r="J148" s="4"/>
      <c r="K148" s="4"/>
    </row>
    <row r="149" customFormat="false" ht="57.45" hidden="false" customHeight="false" outlineLevel="0" collapsed="false">
      <c r="A149" s="2" t="s">
        <v>308</v>
      </c>
      <c r="B149" s="2" t="s">
        <v>309</v>
      </c>
      <c r="C149" s="2" t="n">
        <v>2013</v>
      </c>
      <c r="D149" s="2" t="s">
        <v>24</v>
      </c>
      <c r="E149" s="2" t="s">
        <v>313</v>
      </c>
      <c r="F149" s="2"/>
      <c r="G149" s="2" t="s">
        <v>314</v>
      </c>
      <c r="H149" s="2"/>
      <c r="I149" s="4"/>
      <c r="J149" s="4"/>
      <c r="K149" s="4"/>
    </row>
    <row r="150" customFormat="false" ht="35.05" hidden="false" customHeight="false" outlineLevel="0" collapsed="false">
      <c r="A150" s="2" t="s">
        <v>308</v>
      </c>
      <c r="B150" s="2" t="s">
        <v>309</v>
      </c>
      <c r="C150" s="2" t="n">
        <v>2013</v>
      </c>
      <c r="D150" s="2" t="s">
        <v>27</v>
      </c>
      <c r="E150" s="2" t="s">
        <v>315</v>
      </c>
      <c r="F150" s="2" t="s">
        <v>316</v>
      </c>
      <c r="G150" s="2" t="s">
        <v>317</v>
      </c>
      <c r="H150" s="2"/>
      <c r="I150" s="4"/>
      <c r="J150" s="4"/>
      <c r="K150" s="4"/>
    </row>
    <row r="151" customFormat="false" ht="46.25" hidden="false" customHeight="false" outlineLevel="0" collapsed="false">
      <c r="A151" s="2" t="s">
        <v>308</v>
      </c>
      <c r="B151" s="2" t="s">
        <v>309</v>
      </c>
      <c r="C151" s="2" t="n">
        <v>2013</v>
      </c>
      <c r="D151" s="2" t="s">
        <v>31</v>
      </c>
      <c r="E151" s="2" t="s">
        <v>318</v>
      </c>
      <c r="F151" s="2" t="s">
        <v>319</v>
      </c>
      <c r="G151" s="2" t="s">
        <v>320</v>
      </c>
      <c r="H151" s="2"/>
      <c r="I151" s="4"/>
      <c r="J151" s="4"/>
      <c r="K151" s="4"/>
    </row>
    <row r="152" customFormat="false" ht="35.05" hidden="false" customHeight="false" outlineLevel="0" collapsed="false">
      <c r="A152" s="2" t="s">
        <v>308</v>
      </c>
      <c r="B152" s="2" t="s">
        <v>309</v>
      </c>
      <c r="C152" s="2" t="n">
        <v>2013</v>
      </c>
      <c r="D152" s="2" t="s">
        <v>33</v>
      </c>
      <c r="E152" s="2" t="s">
        <v>321</v>
      </c>
      <c r="F152" s="2" t="s">
        <v>322</v>
      </c>
      <c r="G152" s="2" t="s">
        <v>323</v>
      </c>
      <c r="H152" s="2"/>
      <c r="I152" s="4"/>
      <c r="J152" s="4"/>
      <c r="K152" s="4"/>
    </row>
    <row r="153" customFormat="false" ht="23.85" hidden="false" customHeight="false" outlineLevel="0" collapsed="false">
      <c r="A153" s="2" t="s">
        <v>308</v>
      </c>
      <c r="B153" s="2" t="s">
        <v>309</v>
      </c>
      <c r="C153" s="2" t="n">
        <v>2013</v>
      </c>
      <c r="D153" s="2" t="s">
        <v>37</v>
      </c>
      <c r="E153" s="2" t="s">
        <v>324</v>
      </c>
      <c r="F153" s="2"/>
      <c r="G153" s="2" t="s">
        <v>325</v>
      </c>
      <c r="H153" s="2"/>
      <c r="I153" s="4"/>
      <c r="J153" s="4"/>
      <c r="K153" s="4"/>
    </row>
    <row r="154" customFormat="false" ht="15" hidden="false" customHeight="false" outlineLevel="0" collapsed="false">
      <c r="A154" s="2" t="s">
        <v>308</v>
      </c>
      <c r="B154" s="2" t="s">
        <v>309</v>
      </c>
      <c r="C154" s="2" t="n">
        <v>2013</v>
      </c>
      <c r="D154" s="2" t="s">
        <v>39</v>
      </c>
      <c r="E154" s="2" t="s">
        <v>38</v>
      </c>
      <c r="F154" s="2"/>
      <c r="G154" s="2"/>
      <c r="H154" s="2"/>
      <c r="I154" s="4"/>
      <c r="J154" s="4"/>
      <c r="K154" s="4"/>
    </row>
    <row r="155" customFormat="false" ht="46.25" hidden="false" customHeight="false" outlineLevel="0" collapsed="false">
      <c r="A155" s="2" t="s">
        <v>308</v>
      </c>
      <c r="B155" s="2" t="s">
        <v>309</v>
      </c>
      <c r="C155" s="2" t="n">
        <v>2013</v>
      </c>
      <c r="D155" s="2" t="s">
        <v>57</v>
      </c>
      <c r="E155" s="2" t="s">
        <v>58</v>
      </c>
      <c r="F155" s="2" t="s">
        <v>319</v>
      </c>
      <c r="G155" s="2" t="s">
        <v>320</v>
      </c>
      <c r="H155" s="2"/>
      <c r="I155" s="4"/>
      <c r="J155" s="4"/>
      <c r="K155" s="4"/>
    </row>
    <row r="156" customFormat="false" ht="35.05" hidden="false" customHeight="false" outlineLevel="0" collapsed="false">
      <c r="A156" s="2" t="s">
        <v>326</v>
      </c>
      <c r="B156" s="2" t="s">
        <v>327</v>
      </c>
      <c r="C156" s="2" t="n">
        <v>2014</v>
      </c>
      <c r="D156" s="2" t="s">
        <v>20</v>
      </c>
      <c r="E156" s="2" t="s">
        <v>328</v>
      </c>
      <c r="F156" s="2" t="s">
        <v>329</v>
      </c>
      <c r="G156" s="2" t="s">
        <v>330</v>
      </c>
      <c r="H156" s="2" t="s">
        <v>266</v>
      </c>
      <c r="I156" s="4"/>
      <c r="J156" s="4"/>
      <c r="K156" s="4"/>
    </row>
    <row r="157" customFormat="false" ht="35.05" hidden="false" customHeight="false" outlineLevel="0" collapsed="false">
      <c r="A157" s="2" t="s">
        <v>326</v>
      </c>
      <c r="B157" s="2" t="s">
        <v>327</v>
      </c>
      <c r="C157" s="2" t="n">
        <v>2014</v>
      </c>
      <c r="D157" s="2" t="s">
        <v>24</v>
      </c>
      <c r="E157" s="2" t="s">
        <v>161</v>
      </c>
      <c r="F157" s="2"/>
      <c r="G157" s="2" t="s">
        <v>331</v>
      </c>
      <c r="H157" s="2" t="s">
        <v>266</v>
      </c>
      <c r="I157" s="4"/>
      <c r="J157" s="4"/>
      <c r="K157" s="4"/>
    </row>
    <row r="158" customFormat="false" ht="35.05" hidden="false" customHeight="false" outlineLevel="0" collapsed="false">
      <c r="A158" s="2" t="s">
        <v>326</v>
      </c>
      <c r="B158" s="2" t="s">
        <v>327</v>
      </c>
      <c r="C158" s="2" t="n">
        <v>2014</v>
      </c>
      <c r="D158" s="2" t="s">
        <v>27</v>
      </c>
      <c r="E158" s="2" t="s">
        <v>332</v>
      </c>
      <c r="F158" s="2" t="s">
        <v>333</v>
      </c>
      <c r="G158" s="2" t="s">
        <v>334</v>
      </c>
      <c r="H158" s="2" t="s">
        <v>266</v>
      </c>
      <c r="I158" s="4"/>
      <c r="J158" s="4"/>
      <c r="K158" s="4"/>
    </row>
    <row r="159" customFormat="false" ht="23.85" hidden="false" customHeight="false" outlineLevel="0" collapsed="false">
      <c r="A159" s="2" t="s">
        <v>326</v>
      </c>
      <c r="B159" s="2" t="s">
        <v>327</v>
      </c>
      <c r="C159" s="2" t="n">
        <v>2014</v>
      </c>
      <c r="D159" s="2" t="s">
        <v>31</v>
      </c>
      <c r="E159" s="2" t="s">
        <v>238</v>
      </c>
      <c r="F159" s="2" t="s">
        <v>335</v>
      </c>
      <c r="G159" s="2" t="s">
        <v>336</v>
      </c>
      <c r="H159" s="2" t="s">
        <v>266</v>
      </c>
      <c r="I159" s="4"/>
      <c r="J159" s="4"/>
      <c r="K159" s="4"/>
    </row>
    <row r="160" customFormat="false" ht="35.05" hidden="false" customHeight="false" outlineLevel="0" collapsed="false">
      <c r="A160" s="2" t="s">
        <v>326</v>
      </c>
      <c r="B160" s="2" t="s">
        <v>327</v>
      </c>
      <c r="C160" s="2" t="n">
        <v>2014</v>
      </c>
      <c r="D160" s="2" t="s">
        <v>33</v>
      </c>
      <c r="E160" s="2" t="s">
        <v>337</v>
      </c>
      <c r="F160" s="2" t="s">
        <v>338</v>
      </c>
      <c r="G160" s="2" t="s">
        <v>339</v>
      </c>
      <c r="H160" s="2" t="s">
        <v>266</v>
      </c>
      <c r="I160" s="4"/>
      <c r="J160" s="4"/>
      <c r="K160" s="4"/>
    </row>
    <row r="161" customFormat="false" ht="23.85" hidden="false" customHeight="false" outlineLevel="0" collapsed="false">
      <c r="A161" s="2" t="s">
        <v>326</v>
      </c>
      <c r="B161" s="2" t="s">
        <v>327</v>
      </c>
      <c r="C161" s="2" t="n">
        <v>2014</v>
      </c>
      <c r="D161" s="2" t="s">
        <v>37</v>
      </c>
      <c r="E161" s="2" t="s">
        <v>244</v>
      </c>
      <c r="F161" s="2"/>
      <c r="G161" s="2" t="s">
        <v>340</v>
      </c>
      <c r="H161" s="2" t="s">
        <v>266</v>
      </c>
      <c r="I161" s="4"/>
      <c r="J161" s="4"/>
      <c r="K161" s="4"/>
    </row>
    <row r="162" customFormat="false" ht="15" hidden="false" customHeight="false" outlineLevel="0" collapsed="false">
      <c r="A162" s="2" t="s">
        <v>326</v>
      </c>
      <c r="B162" s="2" t="s">
        <v>327</v>
      </c>
      <c r="C162" s="2" t="n">
        <v>2014</v>
      </c>
      <c r="D162" s="2" t="s">
        <v>39</v>
      </c>
      <c r="E162" s="2" t="s">
        <v>38</v>
      </c>
      <c r="F162" s="2"/>
      <c r="G162" s="2"/>
      <c r="H162" s="2" t="s">
        <v>266</v>
      </c>
      <c r="I162" s="4"/>
      <c r="J162" s="4"/>
      <c r="K162" s="4"/>
    </row>
    <row r="163" customFormat="false" ht="23.85" hidden="false" customHeight="false" outlineLevel="0" collapsed="false">
      <c r="A163" s="2" t="s">
        <v>326</v>
      </c>
      <c r="B163" s="2" t="s">
        <v>327</v>
      </c>
      <c r="C163" s="2" t="n">
        <v>2014</v>
      </c>
      <c r="D163" s="2" t="s">
        <v>57</v>
      </c>
      <c r="E163" s="2" t="s">
        <v>341</v>
      </c>
      <c r="F163" s="2"/>
      <c r="G163" s="2" t="s">
        <v>336</v>
      </c>
      <c r="H163" s="2" t="s">
        <v>266</v>
      </c>
      <c r="I163" s="4"/>
      <c r="J163" s="4"/>
      <c r="K163" s="4"/>
    </row>
    <row r="164" customFormat="false" ht="46.25" hidden="false" customHeight="false" outlineLevel="0" collapsed="false">
      <c r="A164" s="2" t="s">
        <v>342</v>
      </c>
      <c r="B164" s="2" t="s">
        <v>343</v>
      </c>
      <c r="C164" s="2" t="n">
        <v>2015</v>
      </c>
      <c r="D164" s="2" t="s">
        <v>20</v>
      </c>
      <c r="E164" s="2" t="s">
        <v>344</v>
      </c>
      <c r="F164" s="2" t="s">
        <v>345</v>
      </c>
      <c r="G164" s="2" t="s">
        <v>346</v>
      </c>
      <c r="H164" s="2" t="s">
        <v>47</v>
      </c>
      <c r="I164" s="4"/>
      <c r="J164" s="4"/>
      <c r="K164" s="4"/>
    </row>
    <row r="165" customFormat="false" ht="23.85" hidden="false" customHeight="false" outlineLevel="0" collapsed="false">
      <c r="A165" s="2" t="s">
        <v>342</v>
      </c>
      <c r="B165" s="2" t="s">
        <v>343</v>
      </c>
      <c r="C165" s="2" t="n">
        <v>2015</v>
      </c>
      <c r="D165" s="2" t="s">
        <v>24</v>
      </c>
      <c r="E165" s="2" t="s">
        <v>93</v>
      </c>
      <c r="F165" s="2"/>
      <c r="G165" s="2" t="s">
        <v>347</v>
      </c>
      <c r="H165" s="2" t="s">
        <v>47</v>
      </c>
      <c r="I165" s="4"/>
      <c r="J165" s="4"/>
      <c r="K165" s="4"/>
    </row>
    <row r="166" customFormat="false" ht="35.05" hidden="false" customHeight="false" outlineLevel="0" collapsed="false">
      <c r="A166" s="2" t="s">
        <v>342</v>
      </c>
      <c r="B166" s="2" t="s">
        <v>343</v>
      </c>
      <c r="C166" s="2" t="n">
        <v>2015</v>
      </c>
      <c r="D166" s="2" t="s">
        <v>27</v>
      </c>
      <c r="E166" s="2" t="s">
        <v>28</v>
      </c>
      <c r="F166" s="2" t="s">
        <v>348</v>
      </c>
      <c r="G166" s="2" t="s">
        <v>349</v>
      </c>
      <c r="H166" s="2" t="s">
        <v>47</v>
      </c>
      <c r="I166" s="4"/>
      <c r="J166" s="4"/>
      <c r="K166" s="4"/>
    </row>
    <row r="167" customFormat="false" ht="35.05" hidden="false" customHeight="false" outlineLevel="0" collapsed="false">
      <c r="A167" s="2" t="s">
        <v>342</v>
      </c>
      <c r="B167" s="2" t="s">
        <v>343</v>
      </c>
      <c r="C167" s="2" t="n">
        <v>2015</v>
      </c>
      <c r="D167" s="2" t="s">
        <v>31</v>
      </c>
      <c r="E167" s="2" t="s">
        <v>350</v>
      </c>
      <c r="F167" s="2" t="s">
        <v>351</v>
      </c>
      <c r="G167" s="2" t="s">
        <v>352</v>
      </c>
      <c r="H167" s="2" t="s">
        <v>47</v>
      </c>
      <c r="I167" s="4"/>
      <c r="J167" s="4"/>
      <c r="K167" s="4"/>
    </row>
    <row r="168" customFormat="false" ht="46.25" hidden="false" customHeight="false" outlineLevel="0" collapsed="false">
      <c r="A168" s="2" t="s">
        <v>342</v>
      </c>
      <c r="B168" s="2" t="s">
        <v>343</v>
      </c>
      <c r="C168" s="2" t="n">
        <v>2015</v>
      </c>
      <c r="D168" s="2" t="s">
        <v>33</v>
      </c>
      <c r="E168" s="2" t="s">
        <v>353</v>
      </c>
      <c r="F168" s="2" t="s">
        <v>354</v>
      </c>
      <c r="G168" s="2" t="s">
        <v>355</v>
      </c>
      <c r="H168" s="2" t="s">
        <v>47</v>
      </c>
      <c r="I168" s="4"/>
      <c r="J168" s="4"/>
      <c r="K168" s="4"/>
    </row>
    <row r="169" customFormat="false" ht="15" hidden="false" customHeight="false" outlineLevel="0" collapsed="false">
      <c r="A169" s="2" t="s">
        <v>342</v>
      </c>
      <c r="B169" s="2" t="s">
        <v>343</v>
      </c>
      <c r="C169" s="2" t="n">
        <v>2015</v>
      </c>
      <c r="D169" s="2" t="s">
        <v>37</v>
      </c>
      <c r="E169" s="2" t="s">
        <v>38</v>
      </c>
      <c r="F169" s="2"/>
      <c r="G169" s="2" t="s">
        <v>356</v>
      </c>
      <c r="H169" s="2" t="s">
        <v>47</v>
      </c>
      <c r="I169" s="4"/>
      <c r="J169" s="4"/>
      <c r="K169" s="4"/>
    </row>
    <row r="170" customFormat="false" ht="46.25" hidden="false" customHeight="false" outlineLevel="0" collapsed="false">
      <c r="A170" s="2" t="s">
        <v>342</v>
      </c>
      <c r="B170" s="2" t="s">
        <v>343</v>
      </c>
      <c r="C170" s="2" t="n">
        <v>2015</v>
      </c>
      <c r="D170" s="2" t="s">
        <v>39</v>
      </c>
      <c r="E170" s="2" t="s">
        <v>357</v>
      </c>
      <c r="F170" s="2"/>
      <c r="G170" s="2" t="s">
        <v>358</v>
      </c>
      <c r="H170" s="2" t="s">
        <v>47</v>
      </c>
      <c r="I170" s="4"/>
      <c r="J170" s="4"/>
      <c r="K170" s="4"/>
    </row>
    <row r="171" customFormat="false" ht="23.85" hidden="false" customHeight="false" outlineLevel="0" collapsed="false">
      <c r="A171" s="2" t="s">
        <v>342</v>
      </c>
      <c r="B171" s="2" t="s">
        <v>343</v>
      </c>
      <c r="C171" s="2" t="n">
        <v>2015</v>
      </c>
      <c r="D171" s="2" t="s">
        <v>57</v>
      </c>
      <c r="E171" s="2" t="s">
        <v>341</v>
      </c>
      <c r="F171" s="2"/>
      <c r="G171" s="2" t="s">
        <v>352</v>
      </c>
      <c r="H171" s="2" t="s">
        <v>47</v>
      </c>
      <c r="I171" s="4"/>
      <c r="J171" s="4"/>
      <c r="K171" s="4"/>
    </row>
    <row r="172" customFormat="false" ht="35.05" hidden="false" customHeight="false" outlineLevel="0" collapsed="false">
      <c r="A172" s="2" t="s">
        <v>359</v>
      </c>
      <c r="B172" s="2" t="s">
        <v>360</v>
      </c>
      <c r="C172" s="2" t="n">
        <v>2015</v>
      </c>
      <c r="D172" s="2" t="s">
        <v>20</v>
      </c>
      <c r="E172" s="2" t="s">
        <v>158</v>
      </c>
      <c r="F172" s="2" t="s">
        <v>361</v>
      </c>
      <c r="G172" s="2" t="s">
        <v>362</v>
      </c>
      <c r="H172" s="2"/>
      <c r="I172" s="4"/>
      <c r="J172" s="4"/>
      <c r="K172" s="4"/>
    </row>
    <row r="173" customFormat="false" ht="23.85" hidden="false" customHeight="false" outlineLevel="0" collapsed="false">
      <c r="A173" s="2" t="s">
        <v>359</v>
      </c>
      <c r="B173" s="2" t="s">
        <v>360</v>
      </c>
      <c r="C173" s="2" t="n">
        <v>2015</v>
      </c>
      <c r="D173" s="2" t="s">
        <v>24</v>
      </c>
      <c r="E173" s="2" t="s">
        <v>130</v>
      </c>
      <c r="F173" s="2"/>
      <c r="G173" s="2" t="s">
        <v>363</v>
      </c>
      <c r="H173" s="2"/>
      <c r="I173" s="4"/>
      <c r="J173" s="4"/>
      <c r="K173" s="4"/>
    </row>
    <row r="174" customFormat="false" ht="46.25" hidden="false" customHeight="false" outlineLevel="0" collapsed="false">
      <c r="A174" s="2" t="s">
        <v>359</v>
      </c>
      <c r="B174" s="2" t="s">
        <v>360</v>
      </c>
      <c r="C174" s="2" t="n">
        <v>2015</v>
      </c>
      <c r="D174" s="2" t="s">
        <v>27</v>
      </c>
      <c r="E174" s="2" t="s">
        <v>364</v>
      </c>
      <c r="F174" s="2" t="s">
        <v>365</v>
      </c>
      <c r="G174" s="2" t="s">
        <v>366</v>
      </c>
      <c r="H174" s="2"/>
      <c r="I174" s="4"/>
      <c r="J174" s="4"/>
      <c r="K174" s="4"/>
    </row>
    <row r="175" customFormat="false" ht="46.25" hidden="false" customHeight="false" outlineLevel="0" collapsed="false">
      <c r="A175" s="2" t="s">
        <v>359</v>
      </c>
      <c r="B175" s="2" t="s">
        <v>360</v>
      </c>
      <c r="C175" s="2" t="n">
        <v>2015</v>
      </c>
      <c r="D175" s="2" t="s">
        <v>31</v>
      </c>
      <c r="E175" s="2" t="s">
        <v>367</v>
      </c>
      <c r="F175" s="2" t="s">
        <v>368</v>
      </c>
      <c r="G175" s="2" t="s">
        <v>369</v>
      </c>
      <c r="H175" s="2"/>
      <c r="I175" s="4"/>
      <c r="J175" s="4"/>
      <c r="K175" s="4"/>
    </row>
    <row r="176" customFormat="false" ht="46.25" hidden="false" customHeight="false" outlineLevel="0" collapsed="false">
      <c r="A176" s="2" t="s">
        <v>359</v>
      </c>
      <c r="B176" s="2" t="s">
        <v>360</v>
      </c>
      <c r="C176" s="2" t="n">
        <v>2015</v>
      </c>
      <c r="D176" s="2" t="s">
        <v>33</v>
      </c>
      <c r="E176" s="2" t="s">
        <v>370</v>
      </c>
      <c r="F176" s="2" t="s">
        <v>371</v>
      </c>
      <c r="G176" s="2" t="s">
        <v>372</v>
      </c>
      <c r="H176" s="2"/>
      <c r="I176" s="4"/>
      <c r="J176" s="4"/>
      <c r="K176" s="4"/>
    </row>
    <row r="177" customFormat="false" ht="57.45" hidden="false" customHeight="false" outlineLevel="0" collapsed="false">
      <c r="A177" s="2" t="s">
        <v>359</v>
      </c>
      <c r="B177" s="2" t="s">
        <v>360</v>
      </c>
      <c r="C177" s="2" t="n">
        <v>2015</v>
      </c>
      <c r="D177" s="2" t="s">
        <v>37</v>
      </c>
      <c r="E177" s="2" t="s">
        <v>373</v>
      </c>
      <c r="F177" s="2"/>
      <c r="G177" s="2" t="s">
        <v>374</v>
      </c>
      <c r="H177" s="2"/>
      <c r="I177" s="4"/>
      <c r="J177" s="4"/>
      <c r="K177" s="4"/>
    </row>
    <row r="178" customFormat="false" ht="113.4" hidden="false" customHeight="false" outlineLevel="0" collapsed="false">
      <c r="A178" s="2" t="s">
        <v>359</v>
      </c>
      <c r="B178" s="2" t="s">
        <v>360</v>
      </c>
      <c r="C178" s="2" t="n">
        <v>2015</v>
      </c>
      <c r="D178" s="2" t="s">
        <v>39</v>
      </c>
      <c r="E178" s="2" t="s">
        <v>375</v>
      </c>
      <c r="F178" s="2"/>
      <c r="G178" s="2" t="s">
        <v>376</v>
      </c>
      <c r="H178" s="2"/>
      <c r="I178" s="4"/>
      <c r="J178" s="4"/>
      <c r="K178" s="4"/>
    </row>
    <row r="179" customFormat="false" ht="15" hidden="false" customHeight="false" outlineLevel="0" collapsed="false">
      <c r="A179" s="2" t="s">
        <v>377</v>
      </c>
      <c r="B179" s="2" t="s">
        <v>378</v>
      </c>
      <c r="C179" s="2" t="n">
        <v>2015</v>
      </c>
      <c r="D179" s="2" t="s">
        <v>20</v>
      </c>
      <c r="E179" s="2" t="s">
        <v>49</v>
      </c>
      <c r="F179" s="2"/>
      <c r="G179" s="2"/>
      <c r="H179" s="2"/>
      <c r="I179" s="4"/>
      <c r="J179" s="4"/>
      <c r="K179" s="4"/>
    </row>
    <row r="180" customFormat="false" ht="23.85" hidden="false" customHeight="false" outlineLevel="0" collapsed="false">
      <c r="A180" s="2" t="s">
        <v>377</v>
      </c>
      <c r="B180" s="2" t="s">
        <v>378</v>
      </c>
      <c r="C180" s="2" t="n">
        <v>2015</v>
      </c>
      <c r="D180" s="2" t="s">
        <v>24</v>
      </c>
      <c r="E180" s="2" t="s">
        <v>379</v>
      </c>
      <c r="F180" s="2"/>
      <c r="G180" s="2" t="s">
        <v>380</v>
      </c>
      <c r="H180" s="2"/>
      <c r="I180" s="4"/>
      <c r="J180" s="4"/>
      <c r="K180" s="4"/>
    </row>
    <row r="181" customFormat="false" ht="15" hidden="false" customHeight="false" outlineLevel="0" collapsed="false">
      <c r="A181" s="2" t="s">
        <v>377</v>
      </c>
      <c r="B181" s="2" t="s">
        <v>378</v>
      </c>
      <c r="C181" s="2" t="n">
        <v>2015</v>
      </c>
      <c r="D181" s="2" t="s">
        <v>27</v>
      </c>
      <c r="E181" s="2" t="s">
        <v>49</v>
      </c>
      <c r="F181" s="2"/>
      <c r="G181" s="2"/>
      <c r="H181" s="2"/>
      <c r="I181" s="4"/>
      <c r="J181" s="4"/>
      <c r="K181" s="4"/>
    </row>
    <row r="182" customFormat="false" ht="46.25" hidden="false" customHeight="false" outlineLevel="0" collapsed="false">
      <c r="A182" s="2" t="s">
        <v>377</v>
      </c>
      <c r="B182" s="2" t="s">
        <v>378</v>
      </c>
      <c r="C182" s="2" t="n">
        <v>2015</v>
      </c>
      <c r="D182" s="2" t="s">
        <v>31</v>
      </c>
      <c r="E182" s="2" t="s">
        <v>381</v>
      </c>
      <c r="F182" s="2" t="s">
        <v>382</v>
      </c>
      <c r="G182" s="2" t="s">
        <v>383</v>
      </c>
      <c r="H182" s="2"/>
      <c r="I182" s="4"/>
      <c r="J182" s="4"/>
      <c r="K182" s="4"/>
    </row>
    <row r="183" customFormat="false" ht="35.05" hidden="false" customHeight="false" outlineLevel="0" collapsed="false">
      <c r="A183" s="2" t="s">
        <v>377</v>
      </c>
      <c r="B183" s="2" t="s">
        <v>378</v>
      </c>
      <c r="C183" s="2" t="n">
        <v>2015</v>
      </c>
      <c r="D183" s="2" t="s">
        <v>33</v>
      </c>
      <c r="E183" s="2" t="s">
        <v>303</v>
      </c>
      <c r="F183" s="2" t="s">
        <v>384</v>
      </c>
      <c r="G183" s="2" t="s">
        <v>385</v>
      </c>
      <c r="H183" s="2"/>
      <c r="I183" s="4"/>
      <c r="J183" s="4"/>
      <c r="K183" s="4"/>
    </row>
    <row r="184" customFormat="false" ht="15" hidden="false" customHeight="false" outlineLevel="0" collapsed="false">
      <c r="A184" s="2" t="s">
        <v>377</v>
      </c>
      <c r="B184" s="2" t="s">
        <v>378</v>
      </c>
      <c r="C184" s="2" t="n">
        <v>2015</v>
      </c>
      <c r="D184" s="2" t="s">
        <v>37</v>
      </c>
      <c r="E184" s="2" t="s">
        <v>38</v>
      </c>
      <c r="F184" s="2"/>
      <c r="G184" s="2" t="s">
        <v>386</v>
      </c>
      <c r="H184" s="2"/>
      <c r="I184" s="4"/>
      <c r="J184" s="4"/>
      <c r="K184" s="4"/>
    </row>
    <row r="185" customFormat="false" ht="57.45" hidden="false" customHeight="false" outlineLevel="0" collapsed="false">
      <c r="A185" s="2" t="s">
        <v>377</v>
      </c>
      <c r="B185" s="2" t="s">
        <v>378</v>
      </c>
      <c r="C185" s="2" t="n">
        <v>2015</v>
      </c>
      <c r="D185" s="2" t="s">
        <v>39</v>
      </c>
      <c r="E185" s="2" t="s">
        <v>387</v>
      </c>
      <c r="F185" s="2"/>
      <c r="G185" s="2" t="s">
        <v>388</v>
      </c>
      <c r="H185" s="2"/>
      <c r="I185" s="4"/>
      <c r="J185" s="4"/>
      <c r="K185" s="4"/>
    </row>
    <row r="186" customFormat="false" ht="57.45" hidden="false" customHeight="false" outlineLevel="0" collapsed="false">
      <c r="A186" s="2" t="s">
        <v>389</v>
      </c>
      <c r="B186" s="2" t="s">
        <v>390</v>
      </c>
      <c r="C186" s="2" t="n">
        <v>2015</v>
      </c>
      <c r="D186" s="2" t="s">
        <v>20</v>
      </c>
      <c r="E186" s="2" t="s">
        <v>391</v>
      </c>
      <c r="F186" s="2" t="s">
        <v>392</v>
      </c>
      <c r="G186" s="2" t="s">
        <v>393</v>
      </c>
      <c r="H186" s="2" t="s">
        <v>266</v>
      </c>
      <c r="I186" s="4"/>
      <c r="J186" s="4"/>
      <c r="K186" s="4"/>
    </row>
    <row r="187" customFormat="false" ht="46.25" hidden="false" customHeight="false" outlineLevel="0" collapsed="false">
      <c r="A187" s="2" t="s">
        <v>389</v>
      </c>
      <c r="B187" s="2" t="s">
        <v>390</v>
      </c>
      <c r="C187" s="2" t="n">
        <v>2015</v>
      </c>
      <c r="D187" s="2" t="s">
        <v>24</v>
      </c>
      <c r="E187" s="2" t="s">
        <v>394</v>
      </c>
      <c r="F187" s="2"/>
      <c r="G187" s="2" t="s">
        <v>395</v>
      </c>
      <c r="H187" s="2" t="s">
        <v>266</v>
      </c>
      <c r="I187" s="4"/>
      <c r="J187" s="4"/>
      <c r="K187" s="4"/>
    </row>
    <row r="188" customFormat="false" ht="57.45" hidden="false" customHeight="false" outlineLevel="0" collapsed="false">
      <c r="A188" s="2" t="s">
        <v>389</v>
      </c>
      <c r="B188" s="2" t="s">
        <v>390</v>
      </c>
      <c r="C188" s="2" t="n">
        <v>2015</v>
      </c>
      <c r="D188" s="2" t="s">
        <v>27</v>
      </c>
      <c r="E188" s="2" t="s">
        <v>396</v>
      </c>
      <c r="F188" s="2" t="s">
        <v>397</v>
      </c>
      <c r="G188" s="2" t="s">
        <v>398</v>
      </c>
      <c r="H188" s="2" t="s">
        <v>266</v>
      </c>
      <c r="I188" s="4"/>
      <c r="J188" s="4"/>
      <c r="K188" s="4"/>
    </row>
    <row r="189" customFormat="false" ht="35.05" hidden="false" customHeight="false" outlineLevel="0" collapsed="false">
      <c r="A189" s="2" t="s">
        <v>389</v>
      </c>
      <c r="B189" s="2" t="s">
        <v>390</v>
      </c>
      <c r="C189" s="2" t="n">
        <v>2015</v>
      </c>
      <c r="D189" s="2" t="s">
        <v>31</v>
      </c>
      <c r="E189" s="2" t="s">
        <v>238</v>
      </c>
      <c r="F189" s="2" t="s">
        <v>399</v>
      </c>
      <c r="G189" s="2" t="s">
        <v>400</v>
      </c>
      <c r="H189" s="2" t="s">
        <v>266</v>
      </c>
      <c r="I189" s="4"/>
      <c r="J189" s="4"/>
      <c r="K189" s="4"/>
    </row>
    <row r="190" customFormat="false" ht="46.25" hidden="false" customHeight="false" outlineLevel="0" collapsed="false">
      <c r="A190" s="2" t="s">
        <v>389</v>
      </c>
      <c r="B190" s="2" t="s">
        <v>390</v>
      </c>
      <c r="C190" s="2" t="n">
        <v>2015</v>
      </c>
      <c r="D190" s="2" t="s">
        <v>33</v>
      </c>
      <c r="E190" s="2" t="s">
        <v>180</v>
      </c>
      <c r="F190" s="2" t="s">
        <v>401</v>
      </c>
      <c r="G190" s="2" t="s">
        <v>402</v>
      </c>
      <c r="H190" s="2" t="s">
        <v>266</v>
      </c>
      <c r="I190" s="4"/>
      <c r="J190" s="4"/>
      <c r="K190" s="4"/>
    </row>
    <row r="191" customFormat="false" ht="23.85" hidden="false" customHeight="false" outlineLevel="0" collapsed="false">
      <c r="A191" s="2" t="s">
        <v>389</v>
      </c>
      <c r="B191" s="2" t="s">
        <v>390</v>
      </c>
      <c r="C191" s="2" t="n">
        <v>2015</v>
      </c>
      <c r="D191" s="2" t="s">
        <v>37</v>
      </c>
      <c r="E191" s="2" t="s">
        <v>403</v>
      </c>
      <c r="F191" s="2"/>
      <c r="G191" s="2" t="s">
        <v>404</v>
      </c>
      <c r="H191" s="2" t="s">
        <v>266</v>
      </c>
      <c r="I191" s="4"/>
      <c r="J191" s="4"/>
      <c r="K191" s="4"/>
    </row>
    <row r="192" customFormat="false" ht="46.25" hidden="false" customHeight="false" outlineLevel="0" collapsed="false">
      <c r="A192" s="2" t="s">
        <v>389</v>
      </c>
      <c r="B192" s="2" t="s">
        <v>390</v>
      </c>
      <c r="C192" s="2" t="n">
        <v>2015</v>
      </c>
      <c r="D192" s="2" t="s">
        <v>39</v>
      </c>
      <c r="E192" s="2" t="s">
        <v>405</v>
      </c>
      <c r="F192" s="2"/>
      <c r="G192" s="2" t="s">
        <v>406</v>
      </c>
      <c r="H192" s="2" t="s">
        <v>266</v>
      </c>
      <c r="I192" s="4"/>
      <c r="J192" s="4"/>
      <c r="K192" s="4"/>
    </row>
    <row r="193" customFormat="false" ht="23.85" hidden="false" customHeight="false" outlineLevel="0" collapsed="false">
      <c r="A193" s="2" t="s">
        <v>389</v>
      </c>
      <c r="B193" s="2" t="s">
        <v>390</v>
      </c>
      <c r="C193" s="2" t="n">
        <v>2015</v>
      </c>
      <c r="D193" s="2" t="s">
        <v>57</v>
      </c>
      <c r="E193" s="2" t="s">
        <v>341</v>
      </c>
      <c r="F193" s="2"/>
      <c r="G193" s="2" t="s">
        <v>400</v>
      </c>
      <c r="H193" s="2" t="s">
        <v>266</v>
      </c>
      <c r="I193" s="4"/>
      <c r="J193" s="4"/>
      <c r="K193" s="4"/>
    </row>
    <row r="194" customFormat="false" ht="15" hidden="false" customHeight="false" outlineLevel="0" collapsed="false">
      <c r="A194" s="2" t="s">
        <v>407</v>
      </c>
      <c r="B194" s="2" t="s">
        <v>408</v>
      </c>
      <c r="C194" s="2" t="n">
        <v>2015</v>
      </c>
      <c r="D194" s="2" t="s">
        <v>20</v>
      </c>
      <c r="E194" s="2" t="s">
        <v>49</v>
      </c>
      <c r="F194" s="2"/>
      <c r="G194" s="2"/>
      <c r="H194" s="2"/>
      <c r="I194" s="4"/>
      <c r="J194" s="4"/>
      <c r="K194" s="4"/>
    </row>
    <row r="195" customFormat="false" ht="35.05" hidden="false" customHeight="false" outlineLevel="0" collapsed="false">
      <c r="A195" s="2" t="s">
        <v>407</v>
      </c>
      <c r="B195" s="2" t="s">
        <v>408</v>
      </c>
      <c r="C195" s="2" t="n">
        <v>2015</v>
      </c>
      <c r="D195" s="2" t="s">
        <v>24</v>
      </c>
      <c r="E195" s="2" t="s">
        <v>130</v>
      </c>
      <c r="F195" s="2"/>
      <c r="G195" s="2" t="s">
        <v>409</v>
      </c>
      <c r="H195" s="2"/>
      <c r="I195" s="4"/>
      <c r="J195" s="4"/>
      <c r="K195" s="4"/>
    </row>
    <row r="196" customFormat="false" ht="15" hidden="false" customHeight="false" outlineLevel="0" collapsed="false">
      <c r="A196" s="2" t="s">
        <v>407</v>
      </c>
      <c r="B196" s="2" t="s">
        <v>408</v>
      </c>
      <c r="C196" s="2" t="n">
        <v>2015</v>
      </c>
      <c r="D196" s="2" t="s">
        <v>27</v>
      </c>
      <c r="E196" s="2" t="s">
        <v>49</v>
      </c>
      <c r="F196" s="2"/>
      <c r="G196" s="2"/>
      <c r="H196" s="2"/>
      <c r="I196" s="4"/>
      <c r="J196" s="4"/>
      <c r="K196" s="4"/>
    </row>
    <row r="197" customFormat="false" ht="57.45" hidden="false" customHeight="false" outlineLevel="0" collapsed="false">
      <c r="A197" s="2" t="s">
        <v>407</v>
      </c>
      <c r="B197" s="2" t="s">
        <v>408</v>
      </c>
      <c r="C197" s="2" t="n">
        <v>2015</v>
      </c>
      <c r="D197" s="2" t="s">
        <v>31</v>
      </c>
      <c r="E197" s="2" t="s">
        <v>410</v>
      </c>
      <c r="F197" s="2" t="s">
        <v>411</v>
      </c>
      <c r="G197" s="2" t="s">
        <v>412</v>
      </c>
      <c r="H197" s="2"/>
      <c r="I197" s="4"/>
      <c r="J197" s="4"/>
      <c r="K197" s="4"/>
    </row>
    <row r="198" customFormat="false" ht="35.05" hidden="false" customHeight="false" outlineLevel="0" collapsed="false">
      <c r="A198" s="2" t="s">
        <v>407</v>
      </c>
      <c r="B198" s="2" t="s">
        <v>408</v>
      </c>
      <c r="C198" s="2" t="n">
        <v>2015</v>
      </c>
      <c r="D198" s="2" t="s">
        <v>33</v>
      </c>
      <c r="E198" s="2" t="s">
        <v>413</v>
      </c>
      <c r="F198" s="2" t="s">
        <v>414</v>
      </c>
      <c r="G198" s="2" t="s">
        <v>415</v>
      </c>
      <c r="H198" s="2"/>
      <c r="I198" s="4"/>
      <c r="J198" s="4"/>
      <c r="K198" s="4"/>
    </row>
    <row r="199" customFormat="false" ht="68.65" hidden="false" customHeight="false" outlineLevel="0" collapsed="false">
      <c r="A199" s="2" t="s">
        <v>407</v>
      </c>
      <c r="B199" s="2" t="s">
        <v>408</v>
      </c>
      <c r="C199" s="2" t="n">
        <v>2015</v>
      </c>
      <c r="D199" s="2" t="s">
        <v>37</v>
      </c>
      <c r="E199" s="2" t="s">
        <v>416</v>
      </c>
      <c r="F199" s="2"/>
      <c r="G199" s="2" t="s">
        <v>417</v>
      </c>
      <c r="H199" s="2"/>
      <c r="I199" s="4"/>
      <c r="J199" s="4"/>
      <c r="K199" s="4"/>
    </row>
    <row r="200" customFormat="false" ht="15" hidden="false" customHeight="false" outlineLevel="0" collapsed="false">
      <c r="A200" s="2" t="s">
        <v>407</v>
      </c>
      <c r="B200" s="2" t="s">
        <v>408</v>
      </c>
      <c r="C200" s="2" t="n">
        <v>2015</v>
      </c>
      <c r="D200" s="2" t="s">
        <v>39</v>
      </c>
      <c r="E200" s="2" t="s">
        <v>38</v>
      </c>
      <c r="F200" s="2"/>
      <c r="G200" s="2"/>
      <c r="H200" s="2"/>
      <c r="I200" s="4"/>
      <c r="J200" s="4"/>
      <c r="K200" s="4"/>
    </row>
    <row r="201" customFormat="false" ht="57.45" hidden="false" customHeight="false" outlineLevel="0" collapsed="false">
      <c r="A201" s="2" t="s">
        <v>407</v>
      </c>
      <c r="B201" s="2" t="s">
        <v>408</v>
      </c>
      <c r="C201" s="2" t="n">
        <v>2015</v>
      </c>
      <c r="D201" s="2" t="s">
        <v>57</v>
      </c>
      <c r="E201" s="2" t="s">
        <v>58</v>
      </c>
      <c r="F201" s="2" t="s">
        <v>411</v>
      </c>
      <c r="G201" s="2" t="s">
        <v>412</v>
      </c>
      <c r="H201" s="2"/>
      <c r="I201" s="4"/>
      <c r="J201" s="4"/>
      <c r="K201" s="4"/>
    </row>
    <row r="202" customFormat="false" ht="15" hidden="false" customHeight="false" outlineLevel="0" collapsed="false">
      <c r="A202" s="2" t="s">
        <v>418</v>
      </c>
      <c r="B202" s="2" t="s">
        <v>419</v>
      </c>
      <c r="C202" s="2" t="n">
        <v>2016</v>
      </c>
      <c r="D202" s="2" t="s">
        <v>20</v>
      </c>
      <c r="E202" s="2" t="s">
        <v>49</v>
      </c>
      <c r="F202" s="2"/>
      <c r="G202" s="2"/>
      <c r="H202" s="2"/>
      <c r="I202" s="4"/>
      <c r="J202" s="4"/>
      <c r="K202" s="4"/>
    </row>
    <row r="203" customFormat="false" ht="23.85" hidden="false" customHeight="false" outlineLevel="0" collapsed="false">
      <c r="A203" s="2" t="s">
        <v>418</v>
      </c>
      <c r="B203" s="2" t="s">
        <v>419</v>
      </c>
      <c r="C203" s="2" t="n">
        <v>2016</v>
      </c>
      <c r="D203" s="2" t="s">
        <v>24</v>
      </c>
      <c r="E203" s="2" t="s">
        <v>189</v>
      </c>
      <c r="F203" s="2"/>
      <c r="G203" s="2" t="s">
        <v>420</v>
      </c>
      <c r="H203" s="2"/>
      <c r="I203" s="4"/>
      <c r="J203" s="4"/>
      <c r="K203" s="4"/>
    </row>
    <row r="204" customFormat="false" ht="15" hidden="false" customHeight="false" outlineLevel="0" collapsed="false">
      <c r="A204" s="2" t="s">
        <v>418</v>
      </c>
      <c r="B204" s="2" t="s">
        <v>419</v>
      </c>
      <c r="C204" s="2" t="n">
        <v>2016</v>
      </c>
      <c r="D204" s="2" t="s">
        <v>27</v>
      </c>
      <c r="E204" s="2" t="s">
        <v>49</v>
      </c>
      <c r="F204" s="2"/>
      <c r="G204" s="2"/>
      <c r="H204" s="2"/>
      <c r="I204" s="4"/>
      <c r="J204" s="4"/>
      <c r="K204" s="4"/>
    </row>
    <row r="205" customFormat="false" ht="46.25" hidden="false" customHeight="false" outlineLevel="0" collapsed="false">
      <c r="A205" s="2" t="s">
        <v>418</v>
      </c>
      <c r="B205" s="2" t="s">
        <v>419</v>
      </c>
      <c r="C205" s="2" t="n">
        <v>2016</v>
      </c>
      <c r="D205" s="2" t="s">
        <v>31</v>
      </c>
      <c r="E205" s="2" t="s">
        <v>421</v>
      </c>
      <c r="F205" s="2" t="s">
        <v>422</v>
      </c>
      <c r="G205" s="2" t="s">
        <v>423</v>
      </c>
      <c r="H205" s="2"/>
      <c r="I205" s="4"/>
      <c r="J205" s="4"/>
      <c r="K205" s="4"/>
    </row>
    <row r="206" customFormat="false" ht="46.25" hidden="false" customHeight="false" outlineLevel="0" collapsed="false">
      <c r="A206" s="2" t="s">
        <v>418</v>
      </c>
      <c r="B206" s="2" t="s">
        <v>419</v>
      </c>
      <c r="C206" s="2" t="n">
        <v>2016</v>
      </c>
      <c r="D206" s="2" t="s">
        <v>33</v>
      </c>
      <c r="E206" s="2" t="s">
        <v>424</v>
      </c>
      <c r="F206" s="2" t="s">
        <v>425</v>
      </c>
      <c r="G206" s="2" t="s">
        <v>426</v>
      </c>
      <c r="H206" s="2"/>
      <c r="I206" s="4"/>
      <c r="J206" s="4"/>
      <c r="K206" s="4"/>
    </row>
    <row r="207" customFormat="false" ht="35.05" hidden="false" customHeight="false" outlineLevel="0" collapsed="false">
      <c r="A207" s="2" t="s">
        <v>418</v>
      </c>
      <c r="B207" s="2" t="s">
        <v>419</v>
      </c>
      <c r="C207" s="2" t="n">
        <v>2016</v>
      </c>
      <c r="D207" s="2" t="s">
        <v>37</v>
      </c>
      <c r="E207" s="2" t="s">
        <v>38</v>
      </c>
      <c r="F207" s="2"/>
      <c r="G207" s="2" t="s">
        <v>427</v>
      </c>
      <c r="H207" s="2"/>
      <c r="I207" s="4"/>
      <c r="J207" s="4"/>
      <c r="K207" s="4"/>
    </row>
    <row r="208" customFormat="false" ht="15" hidden="false" customHeight="false" outlineLevel="0" collapsed="false">
      <c r="A208" s="2" t="s">
        <v>418</v>
      </c>
      <c r="B208" s="2" t="s">
        <v>419</v>
      </c>
      <c r="C208" s="2" t="n">
        <v>2016</v>
      </c>
      <c r="D208" s="2" t="s">
        <v>39</v>
      </c>
      <c r="E208" s="2" t="s">
        <v>38</v>
      </c>
      <c r="F208" s="2"/>
      <c r="G208" s="2"/>
      <c r="H208" s="2"/>
      <c r="I208" s="4"/>
      <c r="J208" s="4"/>
      <c r="K208" s="4"/>
    </row>
    <row r="209" customFormat="false" ht="35.05" hidden="false" customHeight="false" outlineLevel="0" collapsed="false">
      <c r="A209" s="2" t="s">
        <v>428</v>
      </c>
      <c r="B209" s="2" t="s">
        <v>429</v>
      </c>
      <c r="C209" s="2" t="n">
        <v>2016</v>
      </c>
      <c r="D209" s="2" t="s">
        <v>20</v>
      </c>
      <c r="E209" s="2" t="s">
        <v>66</v>
      </c>
      <c r="F209" s="2" t="s">
        <v>430</v>
      </c>
      <c r="G209" s="2" t="s">
        <v>431</v>
      </c>
      <c r="H209" s="2"/>
      <c r="I209" s="4"/>
      <c r="J209" s="4"/>
      <c r="K209" s="4"/>
    </row>
    <row r="210" customFormat="false" ht="23.85" hidden="false" customHeight="false" outlineLevel="0" collapsed="false">
      <c r="A210" s="2" t="s">
        <v>428</v>
      </c>
      <c r="B210" s="2" t="s">
        <v>429</v>
      </c>
      <c r="C210" s="2" t="n">
        <v>2016</v>
      </c>
      <c r="D210" s="2" t="s">
        <v>24</v>
      </c>
      <c r="E210" s="2" t="s">
        <v>432</v>
      </c>
      <c r="F210" s="2"/>
      <c r="G210" s="2" t="s">
        <v>433</v>
      </c>
      <c r="H210" s="2"/>
      <c r="I210" s="4"/>
      <c r="J210" s="4"/>
      <c r="K210" s="4"/>
    </row>
    <row r="211" customFormat="false" ht="35.05" hidden="false" customHeight="false" outlineLevel="0" collapsed="false">
      <c r="A211" s="2" t="s">
        <v>428</v>
      </c>
      <c r="B211" s="2" t="s">
        <v>429</v>
      </c>
      <c r="C211" s="2" t="n">
        <v>2016</v>
      </c>
      <c r="D211" s="2" t="s">
        <v>27</v>
      </c>
      <c r="E211" s="2" t="s">
        <v>434</v>
      </c>
      <c r="F211" s="2" t="s">
        <v>435</v>
      </c>
      <c r="G211" s="2" t="s">
        <v>436</v>
      </c>
      <c r="H211" s="2"/>
      <c r="I211" s="4"/>
      <c r="J211" s="4"/>
      <c r="K211" s="4"/>
    </row>
    <row r="212" customFormat="false" ht="35.05" hidden="false" customHeight="false" outlineLevel="0" collapsed="false">
      <c r="A212" s="2" t="s">
        <v>428</v>
      </c>
      <c r="B212" s="2" t="s">
        <v>429</v>
      </c>
      <c r="C212" s="2" t="n">
        <v>2016</v>
      </c>
      <c r="D212" s="2" t="s">
        <v>31</v>
      </c>
      <c r="E212" s="2" t="s">
        <v>437</v>
      </c>
      <c r="F212" s="2" t="s">
        <v>438</v>
      </c>
      <c r="G212" s="2" t="s">
        <v>436</v>
      </c>
      <c r="H212" s="2"/>
      <c r="I212" s="4"/>
      <c r="J212" s="4"/>
      <c r="K212" s="4"/>
    </row>
    <row r="213" customFormat="false" ht="35.05" hidden="false" customHeight="false" outlineLevel="0" collapsed="false">
      <c r="A213" s="2" t="s">
        <v>428</v>
      </c>
      <c r="B213" s="2" t="s">
        <v>429</v>
      </c>
      <c r="C213" s="2" t="n">
        <v>2016</v>
      </c>
      <c r="D213" s="2" t="s">
        <v>33</v>
      </c>
      <c r="E213" s="2" t="s">
        <v>439</v>
      </c>
      <c r="F213" s="2" t="s">
        <v>440</v>
      </c>
      <c r="G213" s="2" t="s">
        <v>441</v>
      </c>
      <c r="H213" s="2"/>
      <c r="I213" s="4"/>
      <c r="J213" s="4"/>
      <c r="K213" s="4"/>
    </row>
    <row r="214" customFormat="false" ht="23.85" hidden="false" customHeight="false" outlineLevel="0" collapsed="false">
      <c r="A214" s="2" t="s">
        <v>428</v>
      </c>
      <c r="B214" s="2" t="s">
        <v>429</v>
      </c>
      <c r="C214" s="2" t="n">
        <v>2016</v>
      </c>
      <c r="D214" s="2" t="s">
        <v>37</v>
      </c>
      <c r="E214" s="2" t="s">
        <v>442</v>
      </c>
      <c r="F214" s="2"/>
      <c r="G214" s="2" t="s">
        <v>443</v>
      </c>
      <c r="H214" s="2"/>
      <c r="I214" s="4"/>
      <c r="J214" s="4"/>
      <c r="K214" s="4"/>
    </row>
    <row r="215" customFormat="false" ht="79.85" hidden="false" customHeight="false" outlineLevel="0" collapsed="false">
      <c r="A215" s="2" t="s">
        <v>428</v>
      </c>
      <c r="B215" s="2" t="s">
        <v>429</v>
      </c>
      <c r="C215" s="2" t="n">
        <v>2016</v>
      </c>
      <c r="D215" s="2" t="s">
        <v>39</v>
      </c>
      <c r="E215" s="2" t="s">
        <v>444</v>
      </c>
      <c r="F215" s="2"/>
      <c r="G215" s="2" t="s">
        <v>445</v>
      </c>
      <c r="H215" s="2"/>
      <c r="I215" s="4"/>
      <c r="J215" s="4"/>
      <c r="K215" s="4"/>
    </row>
    <row r="216" customFormat="false" ht="15" hidden="false" customHeight="false" outlineLevel="0" collapsed="false">
      <c r="A216" s="2" t="s">
        <v>446</v>
      </c>
      <c r="B216" s="2" t="s">
        <v>447</v>
      </c>
      <c r="C216" s="2" t="n">
        <v>2016</v>
      </c>
      <c r="D216" s="2" t="s">
        <v>20</v>
      </c>
      <c r="E216" s="2" t="s">
        <v>49</v>
      </c>
      <c r="F216" s="2"/>
      <c r="G216" s="2"/>
      <c r="H216" s="2" t="s">
        <v>266</v>
      </c>
      <c r="I216" s="4"/>
      <c r="J216" s="4"/>
      <c r="K216" s="4"/>
    </row>
    <row r="217" customFormat="false" ht="23.85" hidden="false" customHeight="false" outlineLevel="0" collapsed="false">
      <c r="A217" s="2" t="s">
        <v>446</v>
      </c>
      <c r="B217" s="2" t="s">
        <v>447</v>
      </c>
      <c r="C217" s="2" t="n">
        <v>2016</v>
      </c>
      <c r="D217" s="2" t="s">
        <v>24</v>
      </c>
      <c r="E217" s="2" t="s">
        <v>448</v>
      </c>
      <c r="F217" s="2"/>
      <c r="G217" s="2" t="s">
        <v>449</v>
      </c>
      <c r="H217" s="2" t="s">
        <v>266</v>
      </c>
      <c r="I217" s="4"/>
      <c r="J217" s="4"/>
      <c r="K217" s="4"/>
    </row>
    <row r="218" customFormat="false" ht="23.85" hidden="false" customHeight="false" outlineLevel="0" collapsed="false">
      <c r="A218" s="2" t="s">
        <v>446</v>
      </c>
      <c r="B218" s="2" t="s">
        <v>447</v>
      </c>
      <c r="C218" s="2" t="n">
        <v>2016</v>
      </c>
      <c r="D218" s="2" t="s">
        <v>27</v>
      </c>
      <c r="E218" s="2" t="s">
        <v>28</v>
      </c>
      <c r="F218" s="2" t="s">
        <v>450</v>
      </c>
      <c r="G218" s="2" t="s">
        <v>451</v>
      </c>
      <c r="H218" s="2" t="s">
        <v>266</v>
      </c>
      <c r="I218" s="4"/>
      <c r="J218" s="4"/>
      <c r="K218" s="4"/>
    </row>
    <row r="219" customFormat="false" ht="35.05" hidden="false" customHeight="false" outlineLevel="0" collapsed="false">
      <c r="A219" s="2" t="s">
        <v>446</v>
      </c>
      <c r="B219" s="2" t="s">
        <v>447</v>
      </c>
      <c r="C219" s="2" t="n">
        <v>2016</v>
      </c>
      <c r="D219" s="2" t="s">
        <v>31</v>
      </c>
      <c r="E219" s="2" t="s">
        <v>238</v>
      </c>
      <c r="F219" s="2" t="s">
        <v>452</v>
      </c>
      <c r="G219" s="2" t="s">
        <v>453</v>
      </c>
      <c r="H219" s="2" t="s">
        <v>266</v>
      </c>
      <c r="I219" s="4"/>
      <c r="J219" s="4"/>
      <c r="K219" s="4"/>
    </row>
    <row r="220" customFormat="false" ht="23.85" hidden="false" customHeight="false" outlineLevel="0" collapsed="false">
      <c r="A220" s="2" t="s">
        <v>446</v>
      </c>
      <c r="B220" s="2" t="s">
        <v>447</v>
      </c>
      <c r="C220" s="2" t="n">
        <v>2016</v>
      </c>
      <c r="D220" s="2" t="s">
        <v>33</v>
      </c>
      <c r="E220" s="2" t="s">
        <v>454</v>
      </c>
      <c r="F220" s="2" t="s">
        <v>455</v>
      </c>
      <c r="G220" s="2" t="s">
        <v>456</v>
      </c>
      <c r="H220" s="2" t="s">
        <v>266</v>
      </c>
      <c r="I220" s="4"/>
      <c r="J220" s="4"/>
      <c r="K220" s="4"/>
    </row>
    <row r="221" customFormat="false" ht="23.85" hidden="false" customHeight="false" outlineLevel="0" collapsed="false">
      <c r="A221" s="2" t="s">
        <v>446</v>
      </c>
      <c r="B221" s="2" t="s">
        <v>447</v>
      </c>
      <c r="C221" s="2" t="n">
        <v>2016</v>
      </c>
      <c r="D221" s="2" t="s">
        <v>37</v>
      </c>
      <c r="E221" s="2" t="s">
        <v>457</v>
      </c>
      <c r="F221" s="2"/>
      <c r="G221" s="2" t="s">
        <v>458</v>
      </c>
      <c r="H221" s="2" t="s">
        <v>266</v>
      </c>
      <c r="I221" s="4"/>
      <c r="J221" s="4"/>
      <c r="K221" s="4"/>
    </row>
    <row r="222" customFormat="false" ht="113.4" hidden="false" customHeight="false" outlineLevel="0" collapsed="false">
      <c r="A222" s="2" t="s">
        <v>446</v>
      </c>
      <c r="B222" s="2" t="s">
        <v>447</v>
      </c>
      <c r="C222" s="2" t="n">
        <v>2016</v>
      </c>
      <c r="D222" s="2" t="s">
        <v>39</v>
      </c>
      <c r="E222" s="2" t="s">
        <v>459</v>
      </c>
      <c r="F222" s="2"/>
      <c r="G222" s="2" t="s">
        <v>460</v>
      </c>
      <c r="H222" s="2" t="s">
        <v>266</v>
      </c>
      <c r="I222" s="4"/>
      <c r="J222" s="4"/>
      <c r="K222" s="4"/>
    </row>
    <row r="223" customFormat="false" ht="23.85" hidden="false" customHeight="false" outlineLevel="0" collapsed="false">
      <c r="A223" s="2" t="s">
        <v>446</v>
      </c>
      <c r="B223" s="2" t="s">
        <v>447</v>
      </c>
      <c r="C223" s="2" t="n">
        <v>2016</v>
      </c>
      <c r="D223" s="2" t="s">
        <v>57</v>
      </c>
      <c r="E223" s="2" t="s">
        <v>341</v>
      </c>
      <c r="F223" s="2"/>
      <c r="G223" s="2" t="s">
        <v>453</v>
      </c>
      <c r="H223" s="2" t="s">
        <v>266</v>
      </c>
      <c r="I223" s="4"/>
      <c r="J223" s="4"/>
      <c r="K223" s="4"/>
    </row>
    <row r="224" customFormat="false" ht="35.05" hidden="false" customHeight="false" outlineLevel="0" collapsed="false">
      <c r="A224" s="2" t="s">
        <v>461</v>
      </c>
      <c r="B224" s="2" t="s">
        <v>462</v>
      </c>
      <c r="C224" s="2" t="n">
        <v>2017</v>
      </c>
      <c r="D224" s="2" t="s">
        <v>20</v>
      </c>
      <c r="E224" s="2" t="s">
        <v>463</v>
      </c>
      <c r="F224" s="2" t="s">
        <v>464</v>
      </c>
      <c r="G224" s="2" t="s">
        <v>465</v>
      </c>
      <c r="H224" s="2"/>
      <c r="I224" s="4"/>
      <c r="J224" s="4"/>
      <c r="K224" s="4"/>
    </row>
    <row r="225" customFormat="false" ht="35.05" hidden="false" customHeight="false" outlineLevel="0" collapsed="false">
      <c r="A225" s="2" t="s">
        <v>461</v>
      </c>
      <c r="B225" s="2" t="s">
        <v>462</v>
      </c>
      <c r="C225" s="2" t="n">
        <v>2017</v>
      </c>
      <c r="D225" s="2" t="s">
        <v>24</v>
      </c>
      <c r="E225" s="2" t="s">
        <v>432</v>
      </c>
      <c r="F225" s="2"/>
      <c r="G225" s="2" t="s">
        <v>466</v>
      </c>
      <c r="H225" s="2"/>
      <c r="I225" s="4"/>
      <c r="J225" s="4"/>
      <c r="K225" s="4"/>
    </row>
    <row r="226" customFormat="false" ht="23.85" hidden="false" customHeight="false" outlineLevel="0" collapsed="false">
      <c r="A226" s="2" t="s">
        <v>461</v>
      </c>
      <c r="B226" s="2" t="s">
        <v>462</v>
      </c>
      <c r="C226" s="2" t="n">
        <v>2017</v>
      </c>
      <c r="D226" s="2" t="s">
        <v>27</v>
      </c>
      <c r="E226" s="2" t="s">
        <v>28</v>
      </c>
      <c r="F226" s="2" t="s">
        <v>467</v>
      </c>
      <c r="G226" s="2" t="s">
        <v>468</v>
      </c>
      <c r="H226" s="2"/>
      <c r="I226" s="4"/>
      <c r="J226" s="4"/>
      <c r="K226" s="4"/>
    </row>
    <row r="227" customFormat="false" ht="35.05" hidden="false" customHeight="false" outlineLevel="0" collapsed="false">
      <c r="A227" s="2" t="s">
        <v>461</v>
      </c>
      <c r="B227" s="2" t="s">
        <v>462</v>
      </c>
      <c r="C227" s="2" t="n">
        <v>2017</v>
      </c>
      <c r="D227" s="2" t="s">
        <v>31</v>
      </c>
      <c r="E227" s="2" t="s">
        <v>469</v>
      </c>
      <c r="F227" s="2" t="s">
        <v>470</v>
      </c>
      <c r="G227" s="2" t="s">
        <v>471</v>
      </c>
      <c r="H227" s="2"/>
      <c r="I227" s="4"/>
      <c r="J227" s="4"/>
      <c r="K227" s="4"/>
    </row>
    <row r="228" customFormat="false" ht="23.85" hidden="false" customHeight="false" outlineLevel="0" collapsed="false">
      <c r="A228" s="2" t="s">
        <v>461</v>
      </c>
      <c r="B228" s="2" t="s">
        <v>462</v>
      </c>
      <c r="C228" s="2" t="n">
        <v>2017</v>
      </c>
      <c r="D228" s="2" t="s">
        <v>33</v>
      </c>
      <c r="E228" s="2" t="s">
        <v>303</v>
      </c>
      <c r="F228" s="2" t="s">
        <v>472</v>
      </c>
      <c r="G228" s="2" t="s">
        <v>473</v>
      </c>
      <c r="H228" s="2"/>
      <c r="I228" s="4"/>
      <c r="J228" s="4"/>
      <c r="K228" s="4"/>
    </row>
    <row r="229" customFormat="false" ht="35.05" hidden="false" customHeight="false" outlineLevel="0" collapsed="false">
      <c r="A229" s="2" t="s">
        <v>461</v>
      </c>
      <c r="B229" s="2" t="s">
        <v>462</v>
      </c>
      <c r="C229" s="2" t="n">
        <v>2017</v>
      </c>
      <c r="D229" s="2" t="s">
        <v>37</v>
      </c>
      <c r="E229" s="2" t="s">
        <v>474</v>
      </c>
      <c r="F229" s="2"/>
      <c r="G229" s="2" t="s">
        <v>475</v>
      </c>
      <c r="H229" s="2"/>
      <c r="I229" s="4"/>
      <c r="J229" s="4"/>
      <c r="K229" s="4"/>
    </row>
    <row r="230" customFormat="false" ht="79.85" hidden="false" customHeight="false" outlineLevel="0" collapsed="false">
      <c r="A230" s="2" t="s">
        <v>461</v>
      </c>
      <c r="B230" s="2" t="s">
        <v>462</v>
      </c>
      <c r="C230" s="2" t="n">
        <v>2017</v>
      </c>
      <c r="D230" s="2" t="s">
        <v>39</v>
      </c>
      <c r="E230" s="2" t="s">
        <v>476</v>
      </c>
      <c r="F230" s="2"/>
      <c r="G230" s="2" t="s">
        <v>477</v>
      </c>
      <c r="H230" s="2"/>
      <c r="I230" s="4"/>
      <c r="J230" s="4"/>
      <c r="K230" s="4"/>
    </row>
    <row r="231" customFormat="false" ht="35.05" hidden="false" customHeight="false" outlineLevel="0" collapsed="false">
      <c r="A231" s="2" t="s">
        <v>461</v>
      </c>
      <c r="B231" s="2" t="s">
        <v>462</v>
      </c>
      <c r="C231" s="2" t="n">
        <v>2017</v>
      </c>
      <c r="D231" s="2" t="s">
        <v>57</v>
      </c>
      <c r="E231" s="2" t="s">
        <v>58</v>
      </c>
      <c r="F231" s="2" t="s">
        <v>470</v>
      </c>
      <c r="G231" s="2" t="s">
        <v>471</v>
      </c>
      <c r="H231" s="2"/>
      <c r="I231" s="4"/>
      <c r="J231" s="4"/>
      <c r="K231" s="4"/>
    </row>
    <row r="232" customFormat="false" ht="57.45" hidden="false" customHeight="false" outlineLevel="0" collapsed="false">
      <c r="A232" s="2" t="s">
        <v>478</v>
      </c>
      <c r="B232" s="2" t="s">
        <v>479</v>
      </c>
      <c r="C232" s="2" t="n">
        <v>2018</v>
      </c>
      <c r="D232" s="2" t="s">
        <v>20</v>
      </c>
      <c r="E232" s="2" t="s">
        <v>480</v>
      </c>
      <c r="F232" s="2" t="s">
        <v>481</v>
      </c>
      <c r="G232" s="2" t="s">
        <v>482</v>
      </c>
      <c r="H232" s="2"/>
      <c r="I232" s="4"/>
      <c r="J232" s="4"/>
      <c r="K232" s="4"/>
    </row>
    <row r="233" customFormat="false" ht="68.65" hidden="false" customHeight="false" outlineLevel="0" collapsed="false">
      <c r="A233" s="2" t="s">
        <v>478</v>
      </c>
      <c r="B233" s="2" t="s">
        <v>479</v>
      </c>
      <c r="C233" s="2" t="n">
        <v>2018</v>
      </c>
      <c r="D233" s="2" t="s">
        <v>24</v>
      </c>
      <c r="E233" s="2" t="s">
        <v>483</v>
      </c>
      <c r="F233" s="2"/>
      <c r="G233" s="2" t="s">
        <v>484</v>
      </c>
      <c r="H233" s="2"/>
      <c r="I233" s="4"/>
      <c r="J233" s="4"/>
      <c r="K233" s="4"/>
    </row>
    <row r="234" customFormat="false" ht="23.85" hidden="false" customHeight="false" outlineLevel="0" collapsed="false">
      <c r="A234" s="2" t="s">
        <v>478</v>
      </c>
      <c r="B234" s="2" t="s">
        <v>479</v>
      </c>
      <c r="C234" s="2" t="n">
        <v>2018</v>
      </c>
      <c r="D234" s="2" t="s">
        <v>27</v>
      </c>
      <c r="E234" s="2" t="s">
        <v>434</v>
      </c>
      <c r="F234" s="2" t="s">
        <v>485</v>
      </c>
      <c r="G234" s="2" t="s">
        <v>486</v>
      </c>
      <c r="H234" s="2"/>
      <c r="I234" s="4"/>
      <c r="J234" s="4"/>
      <c r="K234" s="4"/>
    </row>
    <row r="235" customFormat="false" ht="35.05" hidden="false" customHeight="false" outlineLevel="0" collapsed="false">
      <c r="A235" s="2" t="s">
        <v>478</v>
      </c>
      <c r="B235" s="2" t="s">
        <v>479</v>
      </c>
      <c r="C235" s="2" t="n">
        <v>2018</v>
      </c>
      <c r="D235" s="2" t="s">
        <v>31</v>
      </c>
      <c r="E235" s="2" t="s">
        <v>95</v>
      </c>
      <c r="F235" s="2" t="s">
        <v>487</v>
      </c>
      <c r="G235" s="2" t="s">
        <v>486</v>
      </c>
      <c r="H235" s="2"/>
      <c r="I235" s="4"/>
      <c r="J235" s="4"/>
      <c r="K235" s="4"/>
    </row>
    <row r="236" customFormat="false" ht="57.45" hidden="false" customHeight="false" outlineLevel="0" collapsed="false">
      <c r="A236" s="2" t="s">
        <v>478</v>
      </c>
      <c r="B236" s="2" t="s">
        <v>479</v>
      </c>
      <c r="C236" s="2" t="n">
        <v>2018</v>
      </c>
      <c r="D236" s="2" t="s">
        <v>33</v>
      </c>
      <c r="E236" s="2" t="s">
        <v>488</v>
      </c>
      <c r="F236" s="2" t="s">
        <v>489</v>
      </c>
      <c r="G236" s="2" t="s">
        <v>490</v>
      </c>
      <c r="H236" s="2"/>
      <c r="I236" s="4"/>
      <c r="J236" s="4"/>
      <c r="K236" s="4"/>
    </row>
    <row r="237" customFormat="false" ht="57.45" hidden="false" customHeight="false" outlineLevel="0" collapsed="false">
      <c r="A237" s="2" t="s">
        <v>478</v>
      </c>
      <c r="B237" s="2" t="s">
        <v>479</v>
      </c>
      <c r="C237" s="2" t="n">
        <v>2018</v>
      </c>
      <c r="D237" s="2" t="s">
        <v>37</v>
      </c>
      <c r="E237" s="2" t="s">
        <v>491</v>
      </c>
      <c r="F237" s="2"/>
      <c r="G237" s="2" t="s">
        <v>492</v>
      </c>
      <c r="H237" s="2"/>
      <c r="I237" s="4"/>
      <c r="J237" s="4"/>
      <c r="K237" s="4"/>
    </row>
    <row r="238" customFormat="false" ht="57.45" hidden="false" customHeight="false" outlineLevel="0" collapsed="false">
      <c r="A238" s="2" t="s">
        <v>478</v>
      </c>
      <c r="B238" s="2" t="s">
        <v>479</v>
      </c>
      <c r="C238" s="2" t="n">
        <v>2018</v>
      </c>
      <c r="D238" s="2" t="s">
        <v>39</v>
      </c>
      <c r="E238" s="2" t="s">
        <v>493</v>
      </c>
      <c r="F238" s="2"/>
      <c r="G238" s="2" t="s">
        <v>494</v>
      </c>
      <c r="H238" s="2"/>
      <c r="I238" s="4"/>
      <c r="J238" s="4"/>
      <c r="K238" s="4"/>
    </row>
    <row r="239" customFormat="false" ht="46.25" hidden="false" customHeight="false" outlineLevel="0" collapsed="false">
      <c r="A239" s="2" t="s">
        <v>495</v>
      </c>
      <c r="B239" s="2" t="s">
        <v>496</v>
      </c>
      <c r="C239" s="2" t="n">
        <v>2018</v>
      </c>
      <c r="D239" s="2" t="s">
        <v>20</v>
      </c>
      <c r="E239" s="2" t="s">
        <v>497</v>
      </c>
      <c r="F239" s="2" t="s">
        <v>498</v>
      </c>
      <c r="G239" s="2" t="s">
        <v>499</v>
      </c>
      <c r="H239" s="2"/>
      <c r="I239" s="4"/>
      <c r="J239" s="4"/>
      <c r="K239" s="4"/>
    </row>
    <row r="240" customFormat="false" ht="46.25" hidden="false" customHeight="false" outlineLevel="0" collapsed="false">
      <c r="A240" s="2" t="s">
        <v>495</v>
      </c>
      <c r="B240" s="2" t="s">
        <v>496</v>
      </c>
      <c r="C240" s="2" t="n">
        <v>2018</v>
      </c>
      <c r="D240" s="2" t="s">
        <v>24</v>
      </c>
      <c r="E240" s="2" t="s">
        <v>281</v>
      </c>
      <c r="F240" s="2"/>
      <c r="G240" s="2" t="s">
        <v>500</v>
      </c>
      <c r="H240" s="2"/>
      <c r="I240" s="4"/>
      <c r="J240" s="4"/>
      <c r="K240" s="4"/>
    </row>
    <row r="241" customFormat="false" ht="35.05" hidden="false" customHeight="false" outlineLevel="0" collapsed="false">
      <c r="A241" s="2" t="s">
        <v>495</v>
      </c>
      <c r="B241" s="2" t="s">
        <v>496</v>
      </c>
      <c r="C241" s="2" t="n">
        <v>2018</v>
      </c>
      <c r="D241" s="2" t="s">
        <v>27</v>
      </c>
      <c r="E241" s="2" t="s">
        <v>501</v>
      </c>
      <c r="F241" s="2" t="s">
        <v>502</v>
      </c>
      <c r="G241" s="2" t="s">
        <v>503</v>
      </c>
      <c r="H241" s="2"/>
      <c r="I241" s="4"/>
      <c r="J241" s="4"/>
      <c r="K241" s="4"/>
    </row>
    <row r="242" customFormat="false" ht="35.05" hidden="false" customHeight="false" outlineLevel="0" collapsed="false">
      <c r="A242" s="2" t="s">
        <v>495</v>
      </c>
      <c r="B242" s="2" t="s">
        <v>496</v>
      </c>
      <c r="C242" s="2" t="n">
        <v>2018</v>
      </c>
      <c r="D242" s="2" t="s">
        <v>31</v>
      </c>
      <c r="E242" s="2" t="s">
        <v>504</v>
      </c>
      <c r="F242" s="2" t="s">
        <v>505</v>
      </c>
      <c r="G242" s="2" t="s">
        <v>506</v>
      </c>
      <c r="H242" s="2"/>
      <c r="I242" s="4"/>
      <c r="J242" s="4"/>
      <c r="K242" s="4"/>
    </row>
    <row r="243" customFormat="false" ht="46.25" hidden="false" customHeight="false" outlineLevel="0" collapsed="false">
      <c r="A243" s="2" t="s">
        <v>495</v>
      </c>
      <c r="B243" s="2" t="s">
        <v>496</v>
      </c>
      <c r="C243" s="2" t="n">
        <v>2018</v>
      </c>
      <c r="D243" s="2" t="s">
        <v>33</v>
      </c>
      <c r="E243" s="2" t="s">
        <v>507</v>
      </c>
      <c r="F243" s="2" t="s">
        <v>508</v>
      </c>
      <c r="G243" s="2" t="s">
        <v>509</v>
      </c>
      <c r="H243" s="2"/>
      <c r="I243" s="4"/>
      <c r="J243" s="4"/>
      <c r="K243" s="4"/>
    </row>
    <row r="244" customFormat="false" ht="15" hidden="false" customHeight="false" outlineLevel="0" collapsed="false">
      <c r="A244" s="2" t="s">
        <v>495</v>
      </c>
      <c r="B244" s="2" t="s">
        <v>496</v>
      </c>
      <c r="C244" s="2" t="n">
        <v>2018</v>
      </c>
      <c r="D244" s="2" t="s">
        <v>37</v>
      </c>
      <c r="E244" s="2" t="s">
        <v>510</v>
      </c>
      <c r="F244" s="2"/>
      <c r="G244" s="2" t="s">
        <v>511</v>
      </c>
      <c r="H244" s="2"/>
      <c r="I244" s="4"/>
      <c r="J244" s="4"/>
      <c r="K244" s="4"/>
    </row>
    <row r="245" customFormat="false" ht="68.65" hidden="false" customHeight="false" outlineLevel="0" collapsed="false">
      <c r="A245" s="2" t="s">
        <v>495</v>
      </c>
      <c r="B245" s="2" t="s">
        <v>496</v>
      </c>
      <c r="C245" s="2" t="n">
        <v>2018</v>
      </c>
      <c r="D245" s="2" t="s">
        <v>39</v>
      </c>
      <c r="E245" s="2" t="s">
        <v>512</v>
      </c>
      <c r="F245" s="2"/>
      <c r="G245" s="2" t="s">
        <v>513</v>
      </c>
      <c r="H245" s="2"/>
      <c r="I245" s="4"/>
      <c r="J245" s="4"/>
      <c r="K245" s="4"/>
    </row>
    <row r="246" customFormat="false" ht="23.85" hidden="false" customHeight="false" outlineLevel="0" collapsed="false">
      <c r="A246" s="2" t="s">
        <v>495</v>
      </c>
      <c r="B246" s="2" t="s">
        <v>496</v>
      </c>
      <c r="C246" s="2" t="n">
        <v>2018</v>
      </c>
      <c r="D246" s="2" t="s">
        <v>57</v>
      </c>
      <c r="E246" s="2" t="s">
        <v>58</v>
      </c>
      <c r="F246" s="2" t="s">
        <v>505</v>
      </c>
      <c r="G246" s="2" t="s">
        <v>506</v>
      </c>
      <c r="H246" s="2"/>
      <c r="I246" s="4"/>
      <c r="J246" s="4"/>
      <c r="K246" s="4"/>
    </row>
    <row r="247" customFormat="false" ht="23.85" hidden="false" customHeight="false" outlineLevel="0" collapsed="false">
      <c r="A247" s="2" t="s">
        <v>514</v>
      </c>
      <c r="B247" s="2" t="s">
        <v>515</v>
      </c>
      <c r="C247" s="2" t="n">
        <v>2018</v>
      </c>
      <c r="D247" s="2" t="s">
        <v>20</v>
      </c>
      <c r="E247" s="2" t="s">
        <v>516</v>
      </c>
      <c r="F247" s="2" t="s">
        <v>517</v>
      </c>
      <c r="G247" s="2" t="s">
        <v>518</v>
      </c>
      <c r="H247" s="2" t="s">
        <v>266</v>
      </c>
      <c r="I247" s="4"/>
      <c r="J247" s="4"/>
      <c r="K247" s="4"/>
    </row>
    <row r="248" customFormat="false" ht="23.85" hidden="false" customHeight="false" outlineLevel="0" collapsed="false">
      <c r="A248" s="2" t="s">
        <v>514</v>
      </c>
      <c r="B248" s="2" t="s">
        <v>515</v>
      </c>
      <c r="C248" s="2" t="n">
        <v>2018</v>
      </c>
      <c r="D248" s="2" t="s">
        <v>24</v>
      </c>
      <c r="E248" s="2" t="s">
        <v>519</v>
      </c>
      <c r="F248" s="2"/>
      <c r="G248" s="2" t="s">
        <v>520</v>
      </c>
      <c r="H248" s="2" t="s">
        <v>266</v>
      </c>
      <c r="I248" s="4"/>
      <c r="J248" s="4"/>
      <c r="K248" s="4"/>
    </row>
    <row r="249" customFormat="false" ht="35.05" hidden="false" customHeight="false" outlineLevel="0" collapsed="false">
      <c r="A249" s="2" t="s">
        <v>514</v>
      </c>
      <c r="B249" s="2" t="s">
        <v>515</v>
      </c>
      <c r="C249" s="2" t="n">
        <v>2018</v>
      </c>
      <c r="D249" s="2" t="s">
        <v>27</v>
      </c>
      <c r="E249" s="2" t="s">
        <v>66</v>
      </c>
      <c r="F249" s="2" t="s">
        <v>521</v>
      </c>
      <c r="G249" s="2" t="s">
        <v>522</v>
      </c>
      <c r="H249" s="2" t="s">
        <v>266</v>
      </c>
      <c r="I249" s="4"/>
      <c r="J249" s="4"/>
      <c r="K249" s="4"/>
    </row>
    <row r="250" customFormat="false" ht="46.25" hidden="false" customHeight="false" outlineLevel="0" collapsed="false">
      <c r="A250" s="2" t="s">
        <v>514</v>
      </c>
      <c r="B250" s="2" t="s">
        <v>515</v>
      </c>
      <c r="C250" s="2" t="n">
        <v>2018</v>
      </c>
      <c r="D250" s="2" t="s">
        <v>31</v>
      </c>
      <c r="E250" s="2" t="s">
        <v>523</v>
      </c>
      <c r="F250" s="2" t="s">
        <v>524</v>
      </c>
      <c r="G250" s="2" t="s">
        <v>525</v>
      </c>
      <c r="H250" s="2" t="s">
        <v>266</v>
      </c>
      <c r="I250" s="4"/>
      <c r="J250" s="4"/>
      <c r="K250" s="4"/>
    </row>
    <row r="251" customFormat="false" ht="35.05" hidden="false" customHeight="false" outlineLevel="0" collapsed="false">
      <c r="A251" s="2" t="s">
        <v>514</v>
      </c>
      <c r="B251" s="2" t="s">
        <v>515</v>
      </c>
      <c r="C251" s="2" t="n">
        <v>2018</v>
      </c>
      <c r="D251" s="2" t="s">
        <v>33</v>
      </c>
      <c r="E251" s="2" t="s">
        <v>526</v>
      </c>
      <c r="F251" s="2" t="s">
        <v>527</v>
      </c>
      <c r="G251" s="2" t="s">
        <v>528</v>
      </c>
      <c r="H251" s="2" t="s">
        <v>266</v>
      </c>
      <c r="I251" s="4"/>
      <c r="J251" s="4"/>
      <c r="K251" s="4"/>
    </row>
    <row r="252" customFormat="false" ht="15" hidden="false" customHeight="false" outlineLevel="0" collapsed="false">
      <c r="A252" s="2" t="s">
        <v>514</v>
      </c>
      <c r="B252" s="2" t="s">
        <v>515</v>
      </c>
      <c r="C252" s="2" t="n">
        <v>2018</v>
      </c>
      <c r="D252" s="2" t="s">
        <v>37</v>
      </c>
      <c r="E252" s="2" t="s">
        <v>38</v>
      </c>
      <c r="F252" s="2"/>
      <c r="G252" s="2" t="s">
        <v>529</v>
      </c>
      <c r="H252" s="2" t="s">
        <v>266</v>
      </c>
      <c r="I252" s="4"/>
      <c r="J252" s="4"/>
      <c r="K252" s="4"/>
    </row>
    <row r="253" customFormat="false" ht="57.45" hidden="false" customHeight="false" outlineLevel="0" collapsed="false">
      <c r="A253" s="2" t="s">
        <v>514</v>
      </c>
      <c r="B253" s="2" t="s">
        <v>515</v>
      </c>
      <c r="C253" s="2" t="n">
        <v>2018</v>
      </c>
      <c r="D253" s="2" t="s">
        <v>39</v>
      </c>
      <c r="E253" s="2" t="s">
        <v>530</v>
      </c>
      <c r="F253" s="2"/>
      <c r="G253" s="2" t="s">
        <v>531</v>
      </c>
      <c r="H253" s="2" t="s">
        <v>266</v>
      </c>
      <c r="I253" s="4"/>
      <c r="J253" s="4"/>
      <c r="K253" s="4"/>
    </row>
    <row r="254" customFormat="false" ht="23.85" hidden="false" customHeight="false" outlineLevel="0" collapsed="false">
      <c r="A254" s="2" t="s">
        <v>514</v>
      </c>
      <c r="B254" s="2" t="s">
        <v>515</v>
      </c>
      <c r="C254" s="2" t="n">
        <v>2018</v>
      </c>
      <c r="D254" s="2" t="s">
        <v>57</v>
      </c>
      <c r="E254" s="2" t="s">
        <v>341</v>
      </c>
      <c r="F254" s="2"/>
      <c r="G254" s="2" t="s">
        <v>525</v>
      </c>
      <c r="H254" s="2" t="s">
        <v>266</v>
      </c>
      <c r="I254" s="4"/>
      <c r="J254" s="4"/>
      <c r="K254" s="4"/>
    </row>
    <row r="255" customFormat="false" ht="46.25" hidden="false" customHeight="false" outlineLevel="0" collapsed="false">
      <c r="A255" s="2" t="s">
        <v>532</v>
      </c>
      <c r="B255" s="2" t="s">
        <v>533</v>
      </c>
      <c r="C255" s="2" t="n">
        <v>2018</v>
      </c>
      <c r="D255" s="2" t="s">
        <v>20</v>
      </c>
      <c r="E255" s="2" t="s">
        <v>534</v>
      </c>
      <c r="F255" s="2" t="s">
        <v>535</v>
      </c>
      <c r="G255" s="2" t="s">
        <v>536</v>
      </c>
      <c r="H255" s="2"/>
      <c r="I255" s="4"/>
      <c r="J255" s="4"/>
      <c r="K255" s="4"/>
    </row>
    <row r="256" customFormat="false" ht="23.85" hidden="false" customHeight="false" outlineLevel="0" collapsed="false">
      <c r="A256" s="2" t="s">
        <v>532</v>
      </c>
      <c r="B256" s="2" t="s">
        <v>533</v>
      </c>
      <c r="C256" s="2" t="n">
        <v>2018</v>
      </c>
      <c r="D256" s="2" t="s">
        <v>24</v>
      </c>
      <c r="E256" s="2" t="s">
        <v>432</v>
      </c>
      <c r="F256" s="2"/>
      <c r="G256" s="2" t="s">
        <v>537</v>
      </c>
      <c r="H256" s="2"/>
      <c r="I256" s="4"/>
      <c r="J256" s="4"/>
      <c r="K256" s="4"/>
    </row>
    <row r="257" customFormat="false" ht="35.05" hidden="false" customHeight="false" outlineLevel="0" collapsed="false">
      <c r="A257" s="2" t="s">
        <v>532</v>
      </c>
      <c r="B257" s="2" t="s">
        <v>533</v>
      </c>
      <c r="C257" s="2" t="n">
        <v>2018</v>
      </c>
      <c r="D257" s="2" t="s">
        <v>27</v>
      </c>
      <c r="E257" s="2" t="s">
        <v>538</v>
      </c>
      <c r="F257" s="2" t="s">
        <v>539</v>
      </c>
      <c r="G257" s="2" t="s">
        <v>536</v>
      </c>
      <c r="H257" s="2"/>
      <c r="I257" s="4"/>
      <c r="J257" s="4"/>
      <c r="K257" s="4"/>
    </row>
    <row r="258" customFormat="false" ht="35.05" hidden="false" customHeight="false" outlineLevel="0" collapsed="false">
      <c r="A258" s="2" t="s">
        <v>532</v>
      </c>
      <c r="B258" s="2" t="s">
        <v>533</v>
      </c>
      <c r="C258" s="2" t="n">
        <v>2018</v>
      </c>
      <c r="D258" s="2" t="s">
        <v>31</v>
      </c>
      <c r="E258" s="2" t="s">
        <v>540</v>
      </c>
      <c r="F258" s="2" t="s">
        <v>541</v>
      </c>
      <c r="G258" s="2" t="s">
        <v>542</v>
      </c>
      <c r="H258" s="2"/>
      <c r="I258" s="4"/>
      <c r="J258" s="4"/>
      <c r="K258" s="4"/>
    </row>
    <row r="259" customFormat="false" ht="35.05" hidden="false" customHeight="false" outlineLevel="0" collapsed="false">
      <c r="A259" s="2" t="s">
        <v>532</v>
      </c>
      <c r="B259" s="2" t="s">
        <v>533</v>
      </c>
      <c r="C259" s="2" t="n">
        <v>2018</v>
      </c>
      <c r="D259" s="2" t="s">
        <v>33</v>
      </c>
      <c r="E259" s="2" t="s">
        <v>543</v>
      </c>
      <c r="F259" s="2" t="s">
        <v>544</v>
      </c>
      <c r="G259" s="2" t="s">
        <v>545</v>
      </c>
      <c r="H259" s="2"/>
      <c r="I259" s="4"/>
      <c r="J259" s="4"/>
      <c r="K259" s="4"/>
    </row>
    <row r="260" customFormat="false" ht="15" hidden="false" customHeight="false" outlineLevel="0" collapsed="false">
      <c r="A260" s="2" t="s">
        <v>532</v>
      </c>
      <c r="B260" s="2" t="s">
        <v>533</v>
      </c>
      <c r="C260" s="2" t="n">
        <v>2018</v>
      </c>
      <c r="D260" s="2" t="s">
        <v>37</v>
      </c>
      <c r="E260" s="2" t="s">
        <v>38</v>
      </c>
      <c r="F260" s="2"/>
      <c r="G260" s="2"/>
      <c r="H260" s="2"/>
      <c r="I260" s="4"/>
      <c r="J260" s="4"/>
      <c r="K260" s="4"/>
    </row>
    <row r="261" customFormat="false" ht="15" hidden="false" customHeight="false" outlineLevel="0" collapsed="false">
      <c r="A261" s="2" t="s">
        <v>532</v>
      </c>
      <c r="B261" s="2" t="s">
        <v>533</v>
      </c>
      <c r="C261" s="2" t="n">
        <v>2018</v>
      </c>
      <c r="D261" s="2" t="s">
        <v>39</v>
      </c>
      <c r="E261" s="2" t="s">
        <v>38</v>
      </c>
      <c r="F261" s="2"/>
      <c r="G261" s="2"/>
      <c r="H261" s="2"/>
      <c r="I261" s="4"/>
      <c r="J261" s="4"/>
      <c r="K261" s="4"/>
    </row>
    <row r="262" customFormat="false" ht="35.05" hidden="false" customHeight="false" outlineLevel="0" collapsed="false">
      <c r="A262" s="2" t="s">
        <v>532</v>
      </c>
      <c r="B262" s="2" t="s">
        <v>533</v>
      </c>
      <c r="C262" s="2" t="n">
        <v>2018</v>
      </c>
      <c r="D262" s="2" t="s">
        <v>57</v>
      </c>
      <c r="E262" s="2" t="s">
        <v>58</v>
      </c>
      <c r="F262" s="2" t="s">
        <v>541</v>
      </c>
      <c r="G262" s="2" t="s">
        <v>542</v>
      </c>
      <c r="H262" s="2"/>
      <c r="I262" s="4"/>
      <c r="J262" s="4"/>
      <c r="K262" s="4"/>
    </row>
    <row r="263" customFormat="false" ht="35.05" hidden="false" customHeight="false" outlineLevel="0" collapsed="false">
      <c r="A263" s="2" t="s">
        <v>546</v>
      </c>
      <c r="B263" s="2" t="s">
        <v>547</v>
      </c>
      <c r="C263" s="2" t="n">
        <v>2019</v>
      </c>
      <c r="D263" s="2" t="s">
        <v>20</v>
      </c>
      <c r="E263" s="2" t="s">
        <v>548</v>
      </c>
      <c r="F263" s="2" t="s">
        <v>549</v>
      </c>
      <c r="G263" s="2" t="s">
        <v>550</v>
      </c>
      <c r="H263" s="2" t="s">
        <v>266</v>
      </c>
      <c r="I263" s="4"/>
      <c r="J263" s="4"/>
      <c r="K263" s="4"/>
    </row>
    <row r="264" customFormat="false" ht="35.05" hidden="false" customHeight="false" outlineLevel="0" collapsed="false">
      <c r="A264" s="2" t="s">
        <v>546</v>
      </c>
      <c r="B264" s="2" t="s">
        <v>547</v>
      </c>
      <c r="C264" s="2" t="n">
        <v>2019</v>
      </c>
      <c r="D264" s="2" t="s">
        <v>24</v>
      </c>
      <c r="E264" s="2" t="s">
        <v>281</v>
      </c>
      <c r="F264" s="2"/>
      <c r="G264" s="2" t="s">
        <v>551</v>
      </c>
      <c r="H264" s="2" t="s">
        <v>266</v>
      </c>
      <c r="I264" s="4"/>
      <c r="J264" s="4"/>
      <c r="K264" s="4"/>
    </row>
    <row r="265" customFormat="false" ht="23.85" hidden="false" customHeight="false" outlineLevel="0" collapsed="false">
      <c r="A265" s="2" t="s">
        <v>546</v>
      </c>
      <c r="B265" s="2" t="s">
        <v>547</v>
      </c>
      <c r="C265" s="2" t="n">
        <v>2019</v>
      </c>
      <c r="D265" s="2" t="s">
        <v>27</v>
      </c>
      <c r="E265" s="2" t="s">
        <v>273</v>
      </c>
      <c r="F265" s="2" t="s">
        <v>552</v>
      </c>
      <c r="G265" s="2" t="s">
        <v>553</v>
      </c>
      <c r="H265" s="2" t="s">
        <v>266</v>
      </c>
      <c r="I265" s="4"/>
      <c r="J265" s="4"/>
      <c r="K265" s="4"/>
    </row>
    <row r="266" customFormat="false" ht="46.25" hidden="false" customHeight="false" outlineLevel="0" collapsed="false">
      <c r="A266" s="2" t="s">
        <v>546</v>
      </c>
      <c r="B266" s="2" t="s">
        <v>547</v>
      </c>
      <c r="C266" s="2" t="n">
        <v>2019</v>
      </c>
      <c r="D266" s="2" t="s">
        <v>31</v>
      </c>
      <c r="E266" s="2" t="s">
        <v>554</v>
      </c>
      <c r="F266" s="2" t="s">
        <v>555</v>
      </c>
      <c r="G266" s="2" t="s">
        <v>556</v>
      </c>
      <c r="H266" s="2" t="s">
        <v>266</v>
      </c>
      <c r="I266" s="4"/>
      <c r="J266" s="4"/>
      <c r="K266" s="4"/>
    </row>
    <row r="267" customFormat="false" ht="46.25" hidden="false" customHeight="false" outlineLevel="0" collapsed="false">
      <c r="A267" s="2" t="s">
        <v>546</v>
      </c>
      <c r="B267" s="2" t="s">
        <v>547</v>
      </c>
      <c r="C267" s="2" t="n">
        <v>2019</v>
      </c>
      <c r="D267" s="2" t="s">
        <v>33</v>
      </c>
      <c r="E267" s="2" t="s">
        <v>273</v>
      </c>
      <c r="F267" s="2" t="s">
        <v>557</v>
      </c>
      <c r="G267" s="2" t="s">
        <v>176</v>
      </c>
      <c r="H267" s="2" t="s">
        <v>266</v>
      </c>
      <c r="I267" s="4"/>
      <c r="J267" s="4"/>
      <c r="K267" s="4"/>
    </row>
    <row r="268" customFormat="false" ht="15" hidden="false" customHeight="false" outlineLevel="0" collapsed="false">
      <c r="A268" s="2" t="s">
        <v>546</v>
      </c>
      <c r="B268" s="2" t="s">
        <v>547</v>
      </c>
      <c r="C268" s="2" t="n">
        <v>2019</v>
      </c>
      <c r="D268" s="2" t="s">
        <v>37</v>
      </c>
      <c r="E268" s="2" t="s">
        <v>38</v>
      </c>
      <c r="F268" s="2"/>
      <c r="G268" s="2"/>
      <c r="H268" s="2" t="s">
        <v>266</v>
      </c>
      <c r="I268" s="4"/>
      <c r="J268" s="4"/>
      <c r="K268" s="4"/>
    </row>
    <row r="269" customFormat="false" ht="91" hidden="false" customHeight="false" outlineLevel="0" collapsed="false">
      <c r="A269" s="2" t="s">
        <v>546</v>
      </c>
      <c r="B269" s="2" t="s">
        <v>547</v>
      </c>
      <c r="C269" s="2" t="n">
        <v>2019</v>
      </c>
      <c r="D269" s="2" t="s">
        <v>39</v>
      </c>
      <c r="E269" s="2" t="s">
        <v>558</v>
      </c>
      <c r="F269" s="2"/>
      <c r="G269" s="2" t="s">
        <v>559</v>
      </c>
      <c r="H269" s="2" t="s">
        <v>266</v>
      </c>
      <c r="I269" s="4"/>
      <c r="J269" s="4"/>
      <c r="K269" s="4"/>
    </row>
    <row r="270" customFormat="false" ht="35.05" hidden="false" customHeight="false" outlineLevel="0" collapsed="false">
      <c r="A270" s="2" t="s">
        <v>560</v>
      </c>
      <c r="B270" s="2" t="s">
        <v>561</v>
      </c>
      <c r="C270" s="2" t="n">
        <v>2019</v>
      </c>
      <c r="D270" s="2" t="s">
        <v>20</v>
      </c>
      <c r="E270" s="2" t="s">
        <v>293</v>
      </c>
      <c r="F270" s="2" t="s">
        <v>562</v>
      </c>
      <c r="G270" s="2" t="s">
        <v>563</v>
      </c>
      <c r="H270" s="2" t="s">
        <v>47</v>
      </c>
      <c r="I270" s="4"/>
      <c r="J270" s="4"/>
      <c r="K270" s="4"/>
    </row>
    <row r="271" customFormat="false" ht="23.85" hidden="false" customHeight="false" outlineLevel="0" collapsed="false">
      <c r="A271" s="2" t="s">
        <v>560</v>
      </c>
      <c r="B271" s="2" t="s">
        <v>561</v>
      </c>
      <c r="C271" s="2" t="n">
        <v>2019</v>
      </c>
      <c r="D271" s="2" t="s">
        <v>24</v>
      </c>
      <c r="E271" s="2" t="s">
        <v>313</v>
      </c>
      <c r="F271" s="2"/>
      <c r="G271" s="2" t="s">
        <v>564</v>
      </c>
      <c r="H271" s="2" t="s">
        <v>47</v>
      </c>
      <c r="I271" s="4"/>
      <c r="J271" s="4"/>
      <c r="K271" s="4"/>
    </row>
    <row r="272" customFormat="false" ht="15" hidden="false" customHeight="false" outlineLevel="0" collapsed="false">
      <c r="A272" s="2" t="s">
        <v>560</v>
      </c>
      <c r="B272" s="2" t="s">
        <v>561</v>
      </c>
      <c r="C272" s="2" t="n">
        <v>2019</v>
      </c>
      <c r="D272" s="2" t="s">
        <v>27</v>
      </c>
      <c r="E272" s="2" t="s">
        <v>49</v>
      </c>
      <c r="F272" s="2"/>
      <c r="G272" s="2"/>
      <c r="H272" s="2" t="s">
        <v>47</v>
      </c>
      <c r="I272" s="4"/>
      <c r="J272" s="4"/>
      <c r="K272" s="4"/>
    </row>
    <row r="273" customFormat="false" ht="46.25" hidden="false" customHeight="false" outlineLevel="0" collapsed="false">
      <c r="A273" s="2" t="s">
        <v>560</v>
      </c>
      <c r="B273" s="2" t="s">
        <v>561</v>
      </c>
      <c r="C273" s="2" t="n">
        <v>2019</v>
      </c>
      <c r="D273" s="2" t="s">
        <v>31</v>
      </c>
      <c r="E273" s="2" t="s">
        <v>565</v>
      </c>
      <c r="F273" s="2" t="s">
        <v>566</v>
      </c>
      <c r="G273" s="2" t="s">
        <v>567</v>
      </c>
      <c r="H273" s="2" t="s">
        <v>47</v>
      </c>
      <c r="I273" s="4"/>
      <c r="J273" s="4"/>
      <c r="K273" s="4"/>
    </row>
    <row r="274" customFormat="false" ht="35.05" hidden="false" customHeight="false" outlineLevel="0" collapsed="false">
      <c r="A274" s="2" t="s">
        <v>560</v>
      </c>
      <c r="B274" s="2" t="s">
        <v>561</v>
      </c>
      <c r="C274" s="2" t="n">
        <v>2019</v>
      </c>
      <c r="D274" s="2" t="s">
        <v>33</v>
      </c>
      <c r="E274" s="2" t="s">
        <v>165</v>
      </c>
      <c r="F274" s="2" t="s">
        <v>568</v>
      </c>
      <c r="G274" s="2" t="s">
        <v>569</v>
      </c>
      <c r="H274" s="2" t="s">
        <v>47</v>
      </c>
      <c r="I274" s="4"/>
      <c r="J274" s="4"/>
      <c r="K274" s="4"/>
    </row>
    <row r="275" customFormat="false" ht="23.85" hidden="false" customHeight="false" outlineLevel="0" collapsed="false">
      <c r="A275" s="2" t="s">
        <v>560</v>
      </c>
      <c r="B275" s="2" t="s">
        <v>561</v>
      </c>
      <c r="C275" s="2" t="n">
        <v>2019</v>
      </c>
      <c r="D275" s="2" t="s">
        <v>37</v>
      </c>
      <c r="E275" s="2" t="s">
        <v>570</v>
      </c>
      <c r="F275" s="2"/>
      <c r="G275" s="2" t="s">
        <v>571</v>
      </c>
      <c r="H275" s="2" t="s">
        <v>47</v>
      </c>
      <c r="I275" s="4"/>
      <c r="J275" s="4"/>
      <c r="K275" s="4"/>
    </row>
    <row r="276" customFormat="false" ht="113.4" hidden="false" customHeight="false" outlineLevel="0" collapsed="false">
      <c r="A276" s="2" t="s">
        <v>560</v>
      </c>
      <c r="B276" s="2" t="s">
        <v>561</v>
      </c>
      <c r="C276" s="2" t="n">
        <v>2019</v>
      </c>
      <c r="D276" s="2" t="s">
        <v>39</v>
      </c>
      <c r="E276" s="2" t="s">
        <v>572</v>
      </c>
      <c r="F276" s="2"/>
      <c r="G276" s="2" t="s">
        <v>573</v>
      </c>
      <c r="H276" s="2" t="s">
        <v>47</v>
      </c>
      <c r="I276" s="4"/>
      <c r="J276" s="4"/>
      <c r="K276" s="4"/>
    </row>
    <row r="277" customFormat="false" ht="46.25" hidden="false" customHeight="false" outlineLevel="0" collapsed="false">
      <c r="A277" s="2" t="s">
        <v>560</v>
      </c>
      <c r="B277" s="2" t="s">
        <v>561</v>
      </c>
      <c r="C277" s="2" t="n">
        <v>2019</v>
      </c>
      <c r="D277" s="2" t="s">
        <v>57</v>
      </c>
      <c r="E277" s="2" t="s">
        <v>58</v>
      </c>
      <c r="F277" s="2" t="s">
        <v>566</v>
      </c>
      <c r="G277" s="2" t="s">
        <v>567</v>
      </c>
      <c r="H277" s="2" t="s">
        <v>47</v>
      </c>
      <c r="I277" s="4"/>
      <c r="J277" s="4"/>
      <c r="K277" s="4"/>
    </row>
    <row r="278" customFormat="false" ht="46.25" hidden="false" customHeight="false" outlineLevel="0" collapsed="false">
      <c r="A278" s="2" t="s">
        <v>574</v>
      </c>
      <c r="B278" s="2" t="s">
        <v>575</v>
      </c>
      <c r="C278" s="2" t="n">
        <v>2019</v>
      </c>
      <c r="D278" s="2" t="s">
        <v>20</v>
      </c>
      <c r="E278" s="2" t="s">
        <v>576</v>
      </c>
      <c r="F278" s="2" t="s">
        <v>577</v>
      </c>
      <c r="G278" s="2" t="s">
        <v>578</v>
      </c>
      <c r="H278" s="2" t="s">
        <v>266</v>
      </c>
      <c r="I278" s="4"/>
      <c r="J278" s="4"/>
      <c r="K278" s="4"/>
    </row>
    <row r="279" customFormat="false" ht="57.45" hidden="false" customHeight="false" outlineLevel="0" collapsed="false">
      <c r="A279" s="2" t="s">
        <v>574</v>
      </c>
      <c r="B279" s="2" t="s">
        <v>575</v>
      </c>
      <c r="C279" s="2" t="n">
        <v>2019</v>
      </c>
      <c r="D279" s="2" t="s">
        <v>24</v>
      </c>
      <c r="E279" s="2" t="s">
        <v>313</v>
      </c>
      <c r="F279" s="2"/>
      <c r="G279" s="2" t="s">
        <v>579</v>
      </c>
      <c r="H279" s="2" t="s">
        <v>266</v>
      </c>
      <c r="I279" s="4"/>
      <c r="J279" s="4"/>
      <c r="K279" s="4"/>
    </row>
    <row r="280" customFormat="false" ht="35.05" hidden="false" customHeight="false" outlineLevel="0" collapsed="false">
      <c r="A280" s="2" t="s">
        <v>574</v>
      </c>
      <c r="B280" s="2" t="s">
        <v>575</v>
      </c>
      <c r="C280" s="2" t="n">
        <v>2019</v>
      </c>
      <c r="D280" s="2" t="s">
        <v>27</v>
      </c>
      <c r="E280" s="2" t="s">
        <v>66</v>
      </c>
      <c r="F280" s="2" t="s">
        <v>580</v>
      </c>
      <c r="G280" s="2" t="s">
        <v>581</v>
      </c>
      <c r="H280" s="2" t="s">
        <v>266</v>
      </c>
      <c r="I280" s="4"/>
      <c r="J280" s="4"/>
      <c r="K280" s="4"/>
    </row>
    <row r="281" customFormat="false" ht="46.25" hidden="false" customHeight="false" outlineLevel="0" collapsed="false">
      <c r="A281" s="2" t="s">
        <v>574</v>
      </c>
      <c r="B281" s="2" t="s">
        <v>575</v>
      </c>
      <c r="C281" s="2" t="n">
        <v>2019</v>
      </c>
      <c r="D281" s="2" t="s">
        <v>31</v>
      </c>
      <c r="E281" s="2" t="s">
        <v>582</v>
      </c>
      <c r="F281" s="2" t="s">
        <v>583</v>
      </c>
      <c r="G281" s="2" t="s">
        <v>584</v>
      </c>
      <c r="H281" s="2" t="s">
        <v>266</v>
      </c>
      <c r="I281" s="4"/>
      <c r="J281" s="4"/>
      <c r="K281" s="4"/>
    </row>
    <row r="282" customFormat="false" ht="35.05" hidden="false" customHeight="false" outlineLevel="0" collapsed="false">
      <c r="A282" s="2" t="s">
        <v>574</v>
      </c>
      <c r="B282" s="2" t="s">
        <v>575</v>
      </c>
      <c r="C282" s="2" t="n">
        <v>2019</v>
      </c>
      <c r="D282" s="2" t="s">
        <v>33</v>
      </c>
      <c r="E282" s="2" t="s">
        <v>66</v>
      </c>
      <c r="F282" s="2" t="s">
        <v>585</v>
      </c>
      <c r="G282" s="2" t="s">
        <v>581</v>
      </c>
      <c r="H282" s="2" t="s">
        <v>266</v>
      </c>
      <c r="I282" s="4"/>
      <c r="J282" s="4"/>
      <c r="K282" s="4"/>
    </row>
    <row r="283" customFormat="false" ht="15" hidden="false" customHeight="false" outlineLevel="0" collapsed="false">
      <c r="A283" s="2" t="s">
        <v>574</v>
      </c>
      <c r="B283" s="2" t="s">
        <v>575</v>
      </c>
      <c r="C283" s="2" t="n">
        <v>2019</v>
      </c>
      <c r="D283" s="2" t="s">
        <v>37</v>
      </c>
      <c r="E283" s="2" t="s">
        <v>38</v>
      </c>
      <c r="F283" s="2"/>
      <c r="G283" s="2"/>
      <c r="H283" s="2" t="s">
        <v>266</v>
      </c>
      <c r="I283" s="4"/>
      <c r="J283" s="4"/>
      <c r="K283" s="4"/>
    </row>
    <row r="284" customFormat="false" ht="102.2" hidden="false" customHeight="false" outlineLevel="0" collapsed="false">
      <c r="A284" s="2" t="s">
        <v>574</v>
      </c>
      <c r="B284" s="2" t="s">
        <v>575</v>
      </c>
      <c r="C284" s="2" t="n">
        <v>2019</v>
      </c>
      <c r="D284" s="2" t="s">
        <v>39</v>
      </c>
      <c r="E284" s="2" t="s">
        <v>586</v>
      </c>
      <c r="F284" s="2"/>
      <c r="G284" s="2" t="s">
        <v>587</v>
      </c>
      <c r="H284" s="2" t="s">
        <v>266</v>
      </c>
      <c r="I284" s="4"/>
      <c r="J284" s="4"/>
      <c r="K284" s="4"/>
    </row>
    <row r="285" customFormat="false" ht="46.25" hidden="false" customHeight="false" outlineLevel="0" collapsed="false">
      <c r="A285" s="2" t="s">
        <v>574</v>
      </c>
      <c r="B285" s="2" t="s">
        <v>575</v>
      </c>
      <c r="C285" s="2" t="n">
        <v>2019</v>
      </c>
      <c r="D285" s="2" t="s">
        <v>57</v>
      </c>
      <c r="E285" s="2" t="s">
        <v>58</v>
      </c>
      <c r="F285" s="2" t="s">
        <v>583</v>
      </c>
      <c r="G285" s="2" t="s">
        <v>584</v>
      </c>
      <c r="H285" s="2" t="s">
        <v>266</v>
      </c>
      <c r="I285" s="4"/>
      <c r="J285" s="4"/>
      <c r="K285" s="4"/>
    </row>
    <row r="286" customFormat="false" ht="35.05" hidden="false" customHeight="false" outlineLevel="0" collapsed="false">
      <c r="A286" s="2" t="s">
        <v>588</v>
      </c>
      <c r="B286" s="2" t="s">
        <v>589</v>
      </c>
      <c r="C286" s="2" t="n">
        <v>2019</v>
      </c>
      <c r="D286" s="2" t="s">
        <v>20</v>
      </c>
      <c r="E286" s="2" t="s">
        <v>590</v>
      </c>
      <c r="F286" s="2" t="s">
        <v>591</v>
      </c>
      <c r="G286" s="2" t="s">
        <v>592</v>
      </c>
      <c r="H286" s="2"/>
      <c r="I286" s="4"/>
      <c r="J286" s="4"/>
      <c r="K286" s="4"/>
    </row>
    <row r="287" customFormat="false" ht="57.45" hidden="false" customHeight="false" outlineLevel="0" collapsed="false">
      <c r="A287" s="2" t="s">
        <v>588</v>
      </c>
      <c r="B287" s="2" t="s">
        <v>589</v>
      </c>
      <c r="C287" s="2" t="n">
        <v>2019</v>
      </c>
      <c r="D287" s="2" t="s">
        <v>24</v>
      </c>
      <c r="E287" s="2" t="s">
        <v>93</v>
      </c>
      <c r="F287" s="2"/>
      <c r="G287" s="2" t="s">
        <v>593</v>
      </c>
      <c r="H287" s="2"/>
      <c r="I287" s="4"/>
      <c r="J287" s="4"/>
      <c r="K287" s="4"/>
    </row>
    <row r="288" customFormat="false" ht="35.05" hidden="false" customHeight="false" outlineLevel="0" collapsed="false">
      <c r="A288" s="2" t="s">
        <v>588</v>
      </c>
      <c r="B288" s="2" t="s">
        <v>589</v>
      </c>
      <c r="C288" s="2" t="n">
        <v>2019</v>
      </c>
      <c r="D288" s="2" t="s">
        <v>27</v>
      </c>
      <c r="E288" s="2" t="s">
        <v>594</v>
      </c>
      <c r="F288" s="2" t="s">
        <v>595</v>
      </c>
      <c r="G288" s="2" t="s">
        <v>596</v>
      </c>
      <c r="H288" s="2"/>
      <c r="I288" s="4"/>
      <c r="J288" s="4"/>
      <c r="K288" s="4"/>
    </row>
    <row r="289" customFormat="false" ht="35.05" hidden="false" customHeight="false" outlineLevel="0" collapsed="false">
      <c r="A289" s="2" t="s">
        <v>588</v>
      </c>
      <c r="B289" s="2" t="s">
        <v>589</v>
      </c>
      <c r="C289" s="2" t="n">
        <v>2019</v>
      </c>
      <c r="D289" s="2" t="s">
        <v>31</v>
      </c>
      <c r="E289" s="2" t="s">
        <v>597</v>
      </c>
      <c r="F289" s="2" t="s">
        <v>598</v>
      </c>
      <c r="G289" s="2" t="s">
        <v>599</v>
      </c>
      <c r="H289" s="2"/>
      <c r="I289" s="4"/>
      <c r="J289" s="4"/>
      <c r="K289" s="4"/>
    </row>
    <row r="290" customFormat="false" ht="46.25" hidden="false" customHeight="false" outlineLevel="0" collapsed="false">
      <c r="A290" s="2" t="s">
        <v>588</v>
      </c>
      <c r="B290" s="2" t="s">
        <v>589</v>
      </c>
      <c r="C290" s="2" t="n">
        <v>2019</v>
      </c>
      <c r="D290" s="2" t="s">
        <v>33</v>
      </c>
      <c r="E290" s="2" t="s">
        <v>180</v>
      </c>
      <c r="F290" s="2" t="s">
        <v>600</v>
      </c>
      <c r="G290" s="2" t="s">
        <v>601</v>
      </c>
      <c r="H290" s="2"/>
      <c r="I290" s="4"/>
      <c r="J290" s="4"/>
      <c r="K290" s="4"/>
    </row>
    <row r="291" customFormat="false" ht="46.25" hidden="false" customHeight="false" outlineLevel="0" collapsed="false">
      <c r="A291" s="2" t="s">
        <v>588</v>
      </c>
      <c r="B291" s="2" t="s">
        <v>589</v>
      </c>
      <c r="C291" s="2" t="n">
        <v>2019</v>
      </c>
      <c r="D291" s="2" t="s">
        <v>37</v>
      </c>
      <c r="E291" s="2" t="s">
        <v>38</v>
      </c>
      <c r="F291" s="2"/>
      <c r="G291" s="2" t="s">
        <v>602</v>
      </c>
      <c r="H291" s="2"/>
      <c r="I291" s="4"/>
      <c r="J291" s="4"/>
      <c r="K291" s="4"/>
    </row>
    <row r="292" customFormat="false" ht="46.25" hidden="false" customHeight="false" outlineLevel="0" collapsed="false">
      <c r="A292" s="2" t="s">
        <v>588</v>
      </c>
      <c r="B292" s="2" t="s">
        <v>589</v>
      </c>
      <c r="C292" s="2" t="n">
        <v>2019</v>
      </c>
      <c r="D292" s="2" t="s">
        <v>39</v>
      </c>
      <c r="E292" s="2" t="s">
        <v>603</v>
      </c>
      <c r="F292" s="2"/>
      <c r="G292" s="2" t="s">
        <v>604</v>
      </c>
      <c r="H292" s="2"/>
      <c r="I292" s="4"/>
      <c r="J292" s="4"/>
      <c r="K292" s="4"/>
    </row>
    <row r="293" customFormat="false" ht="46.25" hidden="false" customHeight="false" outlineLevel="0" collapsed="false">
      <c r="A293" s="2" t="s">
        <v>605</v>
      </c>
      <c r="B293" s="2" t="s">
        <v>606</v>
      </c>
      <c r="C293" s="2" t="n">
        <v>2019</v>
      </c>
      <c r="D293" s="2" t="s">
        <v>20</v>
      </c>
      <c r="E293" s="2" t="s">
        <v>607</v>
      </c>
      <c r="F293" s="2" t="s">
        <v>608</v>
      </c>
      <c r="G293" s="2" t="s">
        <v>609</v>
      </c>
      <c r="H293" s="2"/>
      <c r="I293" s="4"/>
      <c r="J293" s="4"/>
      <c r="K293" s="4"/>
    </row>
    <row r="294" customFormat="false" ht="23.85" hidden="false" customHeight="false" outlineLevel="0" collapsed="false">
      <c r="A294" s="2" t="s">
        <v>605</v>
      </c>
      <c r="B294" s="2" t="s">
        <v>606</v>
      </c>
      <c r="C294" s="2" t="n">
        <v>2019</v>
      </c>
      <c r="D294" s="2" t="s">
        <v>24</v>
      </c>
      <c r="E294" s="2" t="s">
        <v>189</v>
      </c>
      <c r="F294" s="2"/>
      <c r="G294" s="2" t="s">
        <v>610</v>
      </c>
      <c r="H294" s="2"/>
      <c r="I294" s="4"/>
      <c r="J294" s="4"/>
      <c r="K294" s="4"/>
    </row>
    <row r="295" customFormat="false" ht="23.85" hidden="false" customHeight="false" outlineLevel="0" collapsed="false">
      <c r="A295" s="2" t="s">
        <v>605</v>
      </c>
      <c r="B295" s="2" t="s">
        <v>606</v>
      </c>
      <c r="C295" s="2" t="n">
        <v>2019</v>
      </c>
      <c r="D295" s="2" t="s">
        <v>27</v>
      </c>
      <c r="E295" s="2" t="s">
        <v>28</v>
      </c>
      <c r="F295" s="2" t="s">
        <v>611</v>
      </c>
      <c r="G295" s="2" t="s">
        <v>612</v>
      </c>
      <c r="H295" s="2"/>
      <c r="I295" s="4"/>
      <c r="J295" s="4"/>
      <c r="K295" s="4"/>
    </row>
    <row r="296" customFormat="false" ht="35.05" hidden="false" customHeight="false" outlineLevel="0" collapsed="false">
      <c r="A296" s="2" t="s">
        <v>605</v>
      </c>
      <c r="B296" s="2" t="s">
        <v>606</v>
      </c>
      <c r="C296" s="2" t="n">
        <v>2019</v>
      </c>
      <c r="D296" s="2" t="s">
        <v>31</v>
      </c>
      <c r="E296" s="2" t="s">
        <v>613</v>
      </c>
      <c r="F296" s="2" t="s">
        <v>614</v>
      </c>
      <c r="G296" s="2" t="s">
        <v>615</v>
      </c>
      <c r="H296" s="2"/>
      <c r="I296" s="4"/>
      <c r="J296" s="4"/>
      <c r="K296" s="4"/>
    </row>
    <row r="297" customFormat="false" ht="35.05" hidden="false" customHeight="false" outlineLevel="0" collapsed="false">
      <c r="A297" s="2" t="s">
        <v>605</v>
      </c>
      <c r="B297" s="2" t="s">
        <v>606</v>
      </c>
      <c r="C297" s="2" t="n">
        <v>2019</v>
      </c>
      <c r="D297" s="2" t="s">
        <v>33</v>
      </c>
      <c r="E297" s="2" t="s">
        <v>136</v>
      </c>
      <c r="F297" s="2" t="s">
        <v>616</v>
      </c>
      <c r="G297" s="2" t="s">
        <v>612</v>
      </c>
      <c r="H297" s="2"/>
      <c r="I297" s="4"/>
      <c r="J297" s="4"/>
      <c r="K297" s="4"/>
    </row>
    <row r="298" customFormat="false" ht="68.65" hidden="false" customHeight="false" outlineLevel="0" collapsed="false">
      <c r="A298" s="2" t="s">
        <v>605</v>
      </c>
      <c r="B298" s="2" t="s">
        <v>606</v>
      </c>
      <c r="C298" s="2" t="n">
        <v>2019</v>
      </c>
      <c r="D298" s="2" t="s">
        <v>37</v>
      </c>
      <c r="E298" s="2" t="s">
        <v>38</v>
      </c>
      <c r="F298" s="2"/>
      <c r="G298" s="2" t="s">
        <v>617</v>
      </c>
      <c r="H298" s="2"/>
      <c r="I298" s="4"/>
      <c r="J298" s="4"/>
      <c r="K298" s="4"/>
    </row>
    <row r="299" customFormat="false" ht="57.45" hidden="false" customHeight="false" outlineLevel="0" collapsed="false">
      <c r="A299" s="2" t="s">
        <v>605</v>
      </c>
      <c r="B299" s="2" t="s">
        <v>606</v>
      </c>
      <c r="C299" s="2" t="n">
        <v>2019</v>
      </c>
      <c r="D299" s="2" t="s">
        <v>39</v>
      </c>
      <c r="E299" s="2" t="s">
        <v>618</v>
      </c>
      <c r="F299" s="2"/>
      <c r="G299" s="2" t="s">
        <v>619</v>
      </c>
      <c r="H299" s="2"/>
      <c r="I299" s="4"/>
      <c r="J299" s="4"/>
      <c r="K299" s="4"/>
    </row>
    <row r="300" customFormat="false" ht="35.05" hidden="false" customHeight="false" outlineLevel="0" collapsed="false">
      <c r="A300" s="2" t="s">
        <v>605</v>
      </c>
      <c r="B300" s="2" t="s">
        <v>606</v>
      </c>
      <c r="C300" s="2" t="n">
        <v>2019</v>
      </c>
      <c r="D300" s="2" t="s">
        <v>57</v>
      </c>
      <c r="E300" s="2" t="s">
        <v>58</v>
      </c>
      <c r="F300" s="2" t="s">
        <v>614</v>
      </c>
      <c r="G300" s="2" t="s">
        <v>615</v>
      </c>
      <c r="H300" s="2"/>
      <c r="I300" s="4"/>
      <c r="J300" s="4"/>
      <c r="K300" s="4"/>
    </row>
    <row r="301" customFormat="false" ht="23.85" hidden="false" customHeight="false" outlineLevel="0" collapsed="false">
      <c r="A301" s="2" t="s">
        <v>620</v>
      </c>
      <c r="B301" s="2" t="s">
        <v>621</v>
      </c>
      <c r="C301" s="2" t="n">
        <v>2020</v>
      </c>
      <c r="D301" s="2" t="s">
        <v>20</v>
      </c>
      <c r="E301" s="2" t="s">
        <v>622</v>
      </c>
      <c r="F301" s="2" t="s">
        <v>623</v>
      </c>
      <c r="G301" s="2" t="s">
        <v>624</v>
      </c>
      <c r="H301" s="2"/>
      <c r="I301" s="4"/>
      <c r="J301" s="4"/>
      <c r="K301" s="4"/>
    </row>
    <row r="302" customFormat="false" ht="23.85" hidden="false" customHeight="false" outlineLevel="0" collapsed="false">
      <c r="A302" s="2" t="s">
        <v>620</v>
      </c>
      <c r="B302" s="2" t="s">
        <v>621</v>
      </c>
      <c r="C302" s="2" t="n">
        <v>2020</v>
      </c>
      <c r="D302" s="2" t="s">
        <v>24</v>
      </c>
      <c r="E302" s="2" t="s">
        <v>130</v>
      </c>
      <c r="F302" s="2"/>
      <c r="G302" s="2" t="s">
        <v>625</v>
      </c>
      <c r="H302" s="2"/>
      <c r="I302" s="4"/>
      <c r="J302" s="4"/>
      <c r="K302" s="4"/>
    </row>
    <row r="303" customFormat="false" ht="15" hidden="false" customHeight="false" outlineLevel="0" collapsed="false">
      <c r="A303" s="2" t="s">
        <v>620</v>
      </c>
      <c r="B303" s="2" t="s">
        <v>621</v>
      </c>
      <c r="C303" s="2" t="n">
        <v>2020</v>
      </c>
      <c r="D303" s="2" t="s">
        <v>27</v>
      </c>
      <c r="E303" s="2" t="s">
        <v>49</v>
      </c>
      <c r="F303" s="2"/>
      <c r="G303" s="2"/>
      <c r="H303" s="2"/>
      <c r="I303" s="4"/>
      <c r="J303" s="4"/>
      <c r="K303" s="4"/>
    </row>
    <row r="304" customFormat="false" ht="35.05" hidden="false" customHeight="false" outlineLevel="0" collapsed="false">
      <c r="A304" s="2" t="s">
        <v>620</v>
      </c>
      <c r="B304" s="2" t="s">
        <v>621</v>
      </c>
      <c r="C304" s="2" t="n">
        <v>2020</v>
      </c>
      <c r="D304" s="2" t="s">
        <v>31</v>
      </c>
      <c r="E304" s="2" t="s">
        <v>626</v>
      </c>
      <c r="F304" s="2" t="s">
        <v>627</v>
      </c>
      <c r="G304" s="2" t="s">
        <v>628</v>
      </c>
      <c r="H304" s="2"/>
      <c r="I304" s="4"/>
      <c r="J304" s="4"/>
      <c r="K304" s="4"/>
    </row>
    <row r="305" customFormat="false" ht="35.05" hidden="false" customHeight="false" outlineLevel="0" collapsed="false">
      <c r="A305" s="2" t="s">
        <v>620</v>
      </c>
      <c r="B305" s="2" t="s">
        <v>621</v>
      </c>
      <c r="C305" s="2" t="n">
        <v>2020</v>
      </c>
      <c r="D305" s="2" t="s">
        <v>33</v>
      </c>
      <c r="E305" s="2" t="s">
        <v>241</v>
      </c>
      <c r="F305" s="2" t="s">
        <v>629</v>
      </c>
      <c r="G305" s="2" t="s">
        <v>624</v>
      </c>
      <c r="H305" s="2"/>
      <c r="I305" s="4"/>
      <c r="J305" s="4"/>
      <c r="K305" s="4"/>
    </row>
    <row r="306" customFormat="false" ht="15" hidden="false" customHeight="false" outlineLevel="0" collapsed="false">
      <c r="A306" s="2" t="s">
        <v>620</v>
      </c>
      <c r="B306" s="2" t="s">
        <v>621</v>
      </c>
      <c r="C306" s="2" t="n">
        <v>2020</v>
      </c>
      <c r="D306" s="2" t="s">
        <v>37</v>
      </c>
      <c r="E306" s="2" t="s">
        <v>38</v>
      </c>
      <c r="F306" s="2"/>
      <c r="G306" s="2"/>
      <c r="H306" s="2"/>
      <c r="I306" s="4"/>
      <c r="J306" s="4"/>
      <c r="K306" s="4"/>
    </row>
    <row r="307" customFormat="false" ht="15" hidden="false" customHeight="false" outlineLevel="0" collapsed="false">
      <c r="A307" s="2" t="s">
        <v>620</v>
      </c>
      <c r="B307" s="2" t="s">
        <v>621</v>
      </c>
      <c r="C307" s="2" t="n">
        <v>2020</v>
      </c>
      <c r="D307" s="2" t="s">
        <v>39</v>
      </c>
      <c r="E307" s="2" t="s">
        <v>38</v>
      </c>
      <c r="F307" s="2"/>
      <c r="G307" s="2"/>
      <c r="H307" s="2"/>
      <c r="I307" s="4"/>
      <c r="J307" s="4"/>
      <c r="K307" s="4"/>
    </row>
    <row r="308" customFormat="false" ht="35.05" hidden="false" customHeight="false" outlineLevel="0" collapsed="false">
      <c r="A308" s="2" t="s">
        <v>620</v>
      </c>
      <c r="B308" s="2" t="s">
        <v>621</v>
      </c>
      <c r="C308" s="2" t="n">
        <v>2020</v>
      </c>
      <c r="D308" s="2" t="s">
        <v>57</v>
      </c>
      <c r="E308" s="2" t="s">
        <v>58</v>
      </c>
      <c r="F308" s="2" t="s">
        <v>627</v>
      </c>
      <c r="G308" s="2" t="s">
        <v>628</v>
      </c>
      <c r="H308" s="2"/>
      <c r="I308" s="4"/>
      <c r="J308" s="4"/>
      <c r="K308" s="4"/>
    </row>
    <row r="309" customFormat="false" ht="46.25" hidden="false" customHeight="false" outlineLevel="0" collapsed="false">
      <c r="A309" s="2" t="s">
        <v>630</v>
      </c>
      <c r="B309" s="2" t="s">
        <v>631</v>
      </c>
      <c r="C309" s="2" t="n">
        <v>2020</v>
      </c>
      <c r="D309" s="2" t="s">
        <v>20</v>
      </c>
      <c r="E309" s="2" t="s">
        <v>632</v>
      </c>
      <c r="F309" s="2" t="s">
        <v>633</v>
      </c>
      <c r="G309" s="2" t="s">
        <v>634</v>
      </c>
      <c r="H309" s="2"/>
      <c r="I309" s="4"/>
      <c r="J309" s="4"/>
      <c r="K309" s="4"/>
    </row>
    <row r="310" customFormat="false" ht="35.05" hidden="false" customHeight="false" outlineLevel="0" collapsed="false">
      <c r="A310" s="2" t="s">
        <v>630</v>
      </c>
      <c r="B310" s="2" t="s">
        <v>631</v>
      </c>
      <c r="C310" s="2" t="n">
        <v>2020</v>
      </c>
      <c r="D310" s="2" t="s">
        <v>24</v>
      </c>
      <c r="E310" s="2" t="s">
        <v>93</v>
      </c>
      <c r="F310" s="2"/>
      <c r="G310" s="2" t="s">
        <v>635</v>
      </c>
      <c r="H310" s="2"/>
      <c r="I310" s="4"/>
      <c r="J310" s="4"/>
      <c r="K310" s="4"/>
    </row>
    <row r="311" customFormat="false" ht="15" hidden="false" customHeight="false" outlineLevel="0" collapsed="false">
      <c r="A311" s="2" t="s">
        <v>630</v>
      </c>
      <c r="B311" s="2" t="s">
        <v>631</v>
      </c>
      <c r="C311" s="2" t="n">
        <v>2020</v>
      </c>
      <c r="D311" s="2" t="s">
        <v>27</v>
      </c>
      <c r="E311" s="2" t="s">
        <v>49</v>
      </c>
      <c r="F311" s="2"/>
      <c r="G311" s="2"/>
      <c r="H311" s="2"/>
      <c r="I311" s="4"/>
      <c r="J311" s="4"/>
      <c r="K311" s="4"/>
    </row>
    <row r="312" customFormat="false" ht="35.05" hidden="false" customHeight="false" outlineLevel="0" collapsed="false">
      <c r="A312" s="2" t="s">
        <v>630</v>
      </c>
      <c r="B312" s="2" t="s">
        <v>631</v>
      </c>
      <c r="C312" s="2" t="n">
        <v>2020</v>
      </c>
      <c r="D312" s="2" t="s">
        <v>31</v>
      </c>
      <c r="E312" s="2" t="s">
        <v>636</v>
      </c>
      <c r="F312" s="2" t="s">
        <v>637</v>
      </c>
      <c r="G312" s="2" t="s">
        <v>638</v>
      </c>
      <c r="H312" s="2"/>
      <c r="I312" s="4"/>
      <c r="J312" s="4"/>
      <c r="K312" s="4"/>
    </row>
    <row r="313" customFormat="false" ht="46.25" hidden="false" customHeight="false" outlineLevel="0" collapsed="false">
      <c r="A313" s="2" t="s">
        <v>630</v>
      </c>
      <c r="B313" s="2" t="s">
        <v>631</v>
      </c>
      <c r="C313" s="2" t="n">
        <v>2020</v>
      </c>
      <c r="D313" s="2" t="s">
        <v>33</v>
      </c>
      <c r="E313" s="2" t="s">
        <v>639</v>
      </c>
      <c r="F313" s="2" t="s">
        <v>640</v>
      </c>
      <c r="G313" s="2" t="s">
        <v>641</v>
      </c>
      <c r="H313" s="2"/>
      <c r="I313" s="4"/>
      <c r="J313" s="4"/>
      <c r="K313" s="4"/>
    </row>
    <row r="314" customFormat="false" ht="35.05" hidden="false" customHeight="false" outlineLevel="0" collapsed="false">
      <c r="A314" s="2" t="s">
        <v>630</v>
      </c>
      <c r="B314" s="2" t="s">
        <v>631</v>
      </c>
      <c r="C314" s="2" t="n">
        <v>2020</v>
      </c>
      <c r="D314" s="2" t="s">
        <v>37</v>
      </c>
      <c r="E314" s="2" t="s">
        <v>642</v>
      </c>
      <c r="F314" s="2"/>
      <c r="G314" s="2" t="s">
        <v>643</v>
      </c>
      <c r="H314" s="2"/>
      <c r="I314" s="4"/>
      <c r="J314" s="4"/>
      <c r="K314" s="4"/>
    </row>
    <row r="315" customFormat="false" ht="57.45" hidden="false" customHeight="false" outlineLevel="0" collapsed="false">
      <c r="A315" s="2" t="s">
        <v>630</v>
      </c>
      <c r="B315" s="2" t="s">
        <v>631</v>
      </c>
      <c r="C315" s="2" t="n">
        <v>2020</v>
      </c>
      <c r="D315" s="2" t="s">
        <v>39</v>
      </c>
      <c r="E315" s="2" t="s">
        <v>644</v>
      </c>
      <c r="F315" s="2"/>
      <c r="G315" s="2" t="s">
        <v>645</v>
      </c>
      <c r="H315" s="2"/>
      <c r="I315" s="4"/>
      <c r="J315" s="4"/>
      <c r="K315" s="4"/>
    </row>
    <row r="316" customFormat="false" ht="35.05" hidden="false" customHeight="false" outlineLevel="0" collapsed="false">
      <c r="A316" s="2" t="s">
        <v>630</v>
      </c>
      <c r="B316" s="2" t="s">
        <v>631</v>
      </c>
      <c r="C316" s="2" t="n">
        <v>2020</v>
      </c>
      <c r="D316" s="2" t="s">
        <v>57</v>
      </c>
      <c r="E316" s="2" t="s">
        <v>58</v>
      </c>
      <c r="F316" s="2" t="s">
        <v>637</v>
      </c>
      <c r="G316" s="2" t="s">
        <v>638</v>
      </c>
      <c r="H316" s="2"/>
      <c r="I316" s="4"/>
      <c r="J316" s="4"/>
      <c r="K316" s="4"/>
    </row>
    <row r="317" customFormat="false" ht="15" hidden="false" customHeight="false" outlineLevel="0" collapsed="false">
      <c r="A317" s="2" t="s">
        <v>646</v>
      </c>
      <c r="B317" s="2" t="s">
        <v>647</v>
      </c>
      <c r="C317" s="2" t="n">
        <v>2020</v>
      </c>
      <c r="D317" s="2" t="s">
        <v>20</v>
      </c>
      <c r="E317" s="2" t="s">
        <v>49</v>
      </c>
      <c r="F317" s="2"/>
      <c r="G317" s="2"/>
      <c r="H317" s="2"/>
      <c r="I317" s="4"/>
      <c r="J317" s="4"/>
      <c r="K317" s="4"/>
    </row>
    <row r="318" customFormat="false" ht="23.85" hidden="false" customHeight="false" outlineLevel="0" collapsed="false">
      <c r="A318" s="2" t="s">
        <v>646</v>
      </c>
      <c r="B318" s="2" t="s">
        <v>647</v>
      </c>
      <c r="C318" s="2" t="n">
        <v>2020</v>
      </c>
      <c r="D318" s="2" t="s">
        <v>24</v>
      </c>
      <c r="E318" s="2" t="s">
        <v>93</v>
      </c>
      <c r="F318" s="2"/>
      <c r="G318" s="2" t="s">
        <v>648</v>
      </c>
      <c r="H318" s="2"/>
      <c r="I318" s="4"/>
      <c r="J318" s="4"/>
      <c r="K318" s="4"/>
    </row>
    <row r="319" customFormat="false" ht="23.85" hidden="false" customHeight="false" outlineLevel="0" collapsed="false">
      <c r="A319" s="2" t="s">
        <v>646</v>
      </c>
      <c r="B319" s="2" t="s">
        <v>647</v>
      </c>
      <c r="C319" s="2" t="n">
        <v>2020</v>
      </c>
      <c r="D319" s="2" t="s">
        <v>27</v>
      </c>
      <c r="E319" s="2" t="s">
        <v>28</v>
      </c>
      <c r="F319" s="2" t="s">
        <v>649</v>
      </c>
      <c r="G319" s="2" t="s">
        <v>650</v>
      </c>
      <c r="H319" s="2"/>
      <c r="I319" s="4"/>
      <c r="J319" s="4"/>
      <c r="K319" s="4"/>
    </row>
    <row r="320" customFormat="false" ht="35.05" hidden="false" customHeight="false" outlineLevel="0" collapsed="false">
      <c r="A320" s="2" t="s">
        <v>646</v>
      </c>
      <c r="B320" s="2" t="s">
        <v>647</v>
      </c>
      <c r="C320" s="2" t="n">
        <v>2020</v>
      </c>
      <c r="D320" s="2" t="s">
        <v>31</v>
      </c>
      <c r="E320" s="2" t="s">
        <v>651</v>
      </c>
      <c r="F320" s="2" t="s">
        <v>652</v>
      </c>
      <c r="G320" s="2" t="s">
        <v>653</v>
      </c>
      <c r="H320" s="2"/>
      <c r="I320" s="4"/>
      <c r="J320" s="4"/>
      <c r="K320" s="4"/>
    </row>
    <row r="321" customFormat="false" ht="46.25" hidden="false" customHeight="false" outlineLevel="0" collapsed="false">
      <c r="A321" s="2" t="s">
        <v>646</v>
      </c>
      <c r="B321" s="2" t="s">
        <v>647</v>
      </c>
      <c r="C321" s="2" t="n">
        <v>2020</v>
      </c>
      <c r="D321" s="2" t="s">
        <v>33</v>
      </c>
      <c r="E321" s="2" t="s">
        <v>654</v>
      </c>
      <c r="F321" s="2" t="s">
        <v>655</v>
      </c>
      <c r="G321" s="2" t="s">
        <v>656</v>
      </c>
      <c r="H321" s="2"/>
      <c r="I321" s="4"/>
      <c r="J321" s="4"/>
      <c r="K321" s="4"/>
    </row>
    <row r="322" customFormat="false" ht="15" hidden="false" customHeight="false" outlineLevel="0" collapsed="false">
      <c r="A322" s="2" t="s">
        <v>646</v>
      </c>
      <c r="B322" s="2" t="s">
        <v>647</v>
      </c>
      <c r="C322" s="2" t="n">
        <v>2020</v>
      </c>
      <c r="D322" s="2" t="s">
        <v>37</v>
      </c>
      <c r="E322" s="2" t="s">
        <v>38</v>
      </c>
      <c r="F322" s="2"/>
      <c r="G322" s="2" t="s">
        <v>657</v>
      </c>
      <c r="H322" s="2"/>
      <c r="I322" s="4"/>
      <c r="J322" s="4"/>
      <c r="K322" s="4"/>
    </row>
    <row r="323" customFormat="false" ht="91" hidden="false" customHeight="false" outlineLevel="0" collapsed="false">
      <c r="A323" s="2" t="s">
        <v>646</v>
      </c>
      <c r="B323" s="2" t="s">
        <v>647</v>
      </c>
      <c r="C323" s="2" t="n">
        <v>2020</v>
      </c>
      <c r="D323" s="2" t="s">
        <v>39</v>
      </c>
      <c r="E323" s="2" t="s">
        <v>658</v>
      </c>
      <c r="F323" s="2"/>
      <c r="G323" s="2" t="s">
        <v>659</v>
      </c>
      <c r="H323" s="2"/>
      <c r="I323" s="4"/>
      <c r="J323" s="4"/>
      <c r="K323" s="4"/>
    </row>
    <row r="324" customFormat="false" ht="35.05" hidden="false" customHeight="false" outlineLevel="0" collapsed="false">
      <c r="A324" s="2" t="s">
        <v>646</v>
      </c>
      <c r="B324" s="2" t="s">
        <v>647</v>
      </c>
      <c r="C324" s="2" t="n">
        <v>2020</v>
      </c>
      <c r="D324" s="2" t="s">
        <v>57</v>
      </c>
      <c r="E324" s="2" t="s">
        <v>58</v>
      </c>
      <c r="F324" s="2" t="s">
        <v>652</v>
      </c>
      <c r="G324" s="2" t="s">
        <v>653</v>
      </c>
      <c r="H324" s="2"/>
      <c r="I324" s="4"/>
      <c r="J324" s="4"/>
      <c r="K324" s="4"/>
    </row>
    <row r="325" customFormat="false" ht="46.25" hidden="false" customHeight="false" outlineLevel="0" collapsed="false">
      <c r="A325" s="2" t="s">
        <v>660</v>
      </c>
      <c r="B325" s="2" t="s">
        <v>661</v>
      </c>
      <c r="C325" s="2" t="n">
        <v>2020</v>
      </c>
      <c r="D325" s="2" t="s">
        <v>20</v>
      </c>
      <c r="E325" s="2" t="s">
        <v>391</v>
      </c>
      <c r="F325" s="2" t="s">
        <v>662</v>
      </c>
      <c r="G325" s="2" t="s">
        <v>663</v>
      </c>
      <c r="H325" s="2" t="s">
        <v>266</v>
      </c>
      <c r="I325" s="4"/>
      <c r="J325" s="4"/>
      <c r="K325" s="4"/>
    </row>
    <row r="326" customFormat="false" ht="46.25" hidden="false" customHeight="false" outlineLevel="0" collapsed="false">
      <c r="A326" s="2" t="s">
        <v>660</v>
      </c>
      <c r="B326" s="2" t="s">
        <v>661</v>
      </c>
      <c r="C326" s="2" t="n">
        <v>2020</v>
      </c>
      <c r="D326" s="2" t="s">
        <v>24</v>
      </c>
      <c r="E326" s="2" t="s">
        <v>432</v>
      </c>
      <c r="F326" s="2"/>
      <c r="G326" s="2" t="s">
        <v>664</v>
      </c>
      <c r="H326" s="2" t="s">
        <v>266</v>
      </c>
      <c r="I326" s="4"/>
      <c r="J326" s="4"/>
      <c r="K326" s="4"/>
    </row>
    <row r="327" customFormat="false" ht="46.25" hidden="false" customHeight="false" outlineLevel="0" collapsed="false">
      <c r="A327" s="2" t="s">
        <v>660</v>
      </c>
      <c r="B327" s="2" t="s">
        <v>661</v>
      </c>
      <c r="C327" s="2" t="n">
        <v>2020</v>
      </c>
      <c r="D327" s="2" t="s">
        <v>27</v>
      </c>
      <c r="E327" s="2" t="s">
        <v>594</v>
      </c>
      <c r="F327" s="2" t="s">
        <v>665</v>
      </c>
      <c r="G327" s="2" t="s">
        <v>666</v>
      </c>
      <c r="H327" s="2" t="s">
        <v>266</v>
      </c>
      <c r="I327" s="4"/>
      <c r="J327" s="4"/>
      <c r="K327" s="4"/>
    </row>
    <row r="328" customFormat="false" ht="46.25" hidden="false" customHeight="false" outlineLevel="0" collapsed="false">
      <c r="A328" s="2" t="s">
        <v>660</v>
      </c>
      <c r="B328" s="2" t="s">
        <v>661</v>
      </c>
      <c r="C328" s="2" t="n">
        <v>2020</v>
      </c>
      <c r="D328" s="2" t="s">
        <v>31</v>
      </c>
      <c r="E328" s="2" t="s">
        <v>667</v>
      </c>
      <c r="F328" s="2" t="s">
        <v>668</v>
      </c>
      <c r="G328" s="2" t="s">
        <v>669</v>
      </c>
      <c r="H328" s="2" t="s">
        <v>266</v>
      </c>
      <c r="I328" s="4"/>
      <c r="J328" s="4"/>
      <c r="K328" s="4"/>
    </row>
    <row r="329" customFormat="false" ht="35.05" hidden="false" customHeight="false" outlineLevel="0" collapsed="false">
      <c r="A329" s="2" t="s">
        <v>660</v>
      </c>
      <c r="B329" s="2" t="s">
        <v>661</v>
      </c>
      <c r="C329" s="2" t="n">
        <v>2020</v>
      </c>
      <c r="D329" s="2" t="s">
        <v>33</v>
      </c>
      <c r="E329" s="2" t="s">
        <v>454</v>
      </c>
      <c r="F329" s="2" t="s">
        <v>670</v>
      </c>
      <c r="G329" s="2" t="s">
        <v>671</v>
      </c>
      <c r="H329" s="2" t="s">
        <v>266</v>
      </c>
      <c r="I329" s="4"/>
      <c r="J329" s="4"/>
      <c r="K329" s="4"/>
    </row>
    <row r="330" customFormat="false" ht="68.65" hidden="false" customHeight="false" outlineLevel="0" collapsed="false">
      <c r="A330" s="2" t="s">
        <v>660</v>
      </c>
      <c r="B330" s="2" t="s">
        <v>661</v>
      </c>
      <c r="C330" s="2" t="n">
        <v>2020</v>
      </c>
      <c r="D330" s="2" t="s">
        <v>37</v>
      </c>
      <c r="E330" s="2" t="s">
        <v>672</v>
      </c>
      <c r="F330" s="2"/>
      <c r="G330" s="2" t="s">
        <v>673</v>
      </c>
      <c r="H330" s="2" t="s">
        <v>266</v>
      </c>
      <c r="I330" s="4"/>
      <c r="J330" s="4"/>
      <c r="K330" s="4"/>
    </row>
    <row r="331" customFormat="false" ht="68.65" hidden="false" customHeight="false" outlineLevel="0" collapsed="false">
      <c r="A331" s="2" t="s">
        <v>660</v>
      </c>
      <c r="B331" s="2" t="s">
        <v>661</v>
      </c>
      <c r="C331" s="2" t="n">
        <v>2020</v>
      </c>
      <c r="D331" s="2" t="s">
        <v>39</v>
      </c>
      <c r="E331" s="2" t="s">
        <v>674</v>
      </c>
      <c r="F331" s="2"/>
      <c r="G331" s="2" t="s">
        <v>675</v>
      </c>
      <c r="H331" s="2" t="s">
        <v>266</v>
      </c>
      <c r="I331" s="4"/>
      <c r="J331" s="4"/>
      <c r="K331" s="4"/>
    </row>
    <row r="332" customFormat="false" ht="35.05" hidden="false" customHeight="false" outlineLevel="0" collapsed="false">
      <c r="A332" s="2" t="s">
        <v>676</v>
      </c>
      <c r="B332" s="2" t="s">
        <v>677</v>
      </c>
      <c r="C332" s="2" t="n">
        <v>2020</v>
      </c>
      <c r="D332" s="2" t="s">
        <v>20</v>
      </c>
      <c r="E332" s="2" t="s">
        <v>263</v>
      </c>
      <c r="F332" s="2" t="s">
        <v>678</v>
      </c>
      <c r="G332" s="2" t="s">
        <v>679</v>
      </c>
      <c r="H332" s="2" t="s">
        <v>266</v>
      </c>
      <c r="I332" s="4"/>
      <c r="J332" s="4"/>
      <c r="K332" s="4"/>
    </row>
    <row r="333" customFormat="false" ht="23.85" hidden="false" customHeight="false" outlineLevel="0" collapsed="false">
      <c r="A333" s="2" t="s">
        <v>676</v>
      </c>
      <c r="B333" s="2" t="s">
        <v>677</v>
      </c>
      <c r="C333" s="2" t="n">
        <v>2020</v>
      </c>
      <c r="D333" s="2" t="s">
        <v>24</v>
      </c>
      <c r="E333" s="2" t="s">
        <v>519</v>
      </c>
      <c r="F333" s="2"/>
      <c r="G333" s="2" t="s">
        <v>680</v>
      </c>
      <c r="H333" s="2" t="s">
        <v>266</v>
      </c>
      <c r="I333" s="4"/>
      <c r="J333" s="4"/>
      <c r="K333" s="4"/>
    </row>
    <row r="334" customFormat="false" ht="23.85" hidden="false" customHeight="false" outlineLevel="0" collapsed="false">
      <c r="A334" s="2" t="s">
        <v>676</v>
      </c>
      <c r="B334" s="2" t="s">
        <v>677</v>
      </c>
      <c r="C334" s="2" t="n">
        <v>2020</v>
      </c>
      <c r="D334" s="2" t="s">
        <v>27</v>
      </c>
      <c r="E334" s="2" t="s">
        <v>594</v>
      </c>
      <c r="F334" s="2" t="s">
        <v>681</v>
      </c>
      <c r="G334" s="2" t="s">
        <v>682</v>
      </c>
      <c r="H334" s="2" t="s">
        <v>266</v>
      </c>
      <c r="I334" s="4"/>
      <c r="J334" s="4"/>
      <c r="K334" s="4"/>
    </row>
    <row r="335" customFormat="false" ht="35.05" hidden="false" customHeight="false" outlineLevel="0" collapsed="false">
      <c r="A335" s="2" t="s">
        <v>676</v>
      </c>
      <c r="B335" s="2" t="s">
        <v>677</v>
      </c>
      <c r="C335" s="2" t="n">
        <v>2020</v>
      </c>
      <c r="D335" s="2" t="s">
        <v>31</v>
      </c>
      <c r="E335" s="2" t="s">
        <v>683</v>
      </c>
      <c r="F335" s="2" t="s">
        <v>684</v>
      </c>
      <c r="G335" s="2" t="s">
        <v>685</v>
      </c>
      <c r="H335" s="2" t="s">
        <v>266</v>
      </c>
      <c r="I335" s="4"/>
      <c r="J335" s="4"/>
      <c r="K335" s="4"/>
    </row>
    <row r="336" customFormat="false" ht="35.05" hidden="false" customHeight="false" outlineLevel="0" collapsed="false">
      <c r="A336" s="2" t="s">
        <v>676</v>
      </c>
      <c r="B336" s="2" t="s">
        <v>677</v>
      </c>
      <c r="C336" s="2" t="n">
        <v>2020</v>
      </c>
      <c r="D336" s="2" t="s">
        <v>33</v>
      </c>
      <c r="E336" s="2" t="s">
        <v>686</v>
      </c>
      <c r="F336" s="2" t="s">
        <v>687</v>
      </c>
      <c r="G336" s="2" t="s">
        <v>688</v>
      </c>
      <c r="H336" s="2" t="s">
        <v>266</v>
      </c>
      <c r="I336" s="4"/>
      <c r="J336" s="4"/>
      <c r="K336" s="4"/>
    </row>
    <row r="337" customFormat="false" ht="15" hidden="false" customHeight="false" outlineLevel="0" collapsed="false">
      <c r="A337" s="2" t="s">
        <v>676</v>
      </c>
      <c r="B337" s="2" t="s">
        <v>677</v>
      </c>
      <c r="C337" s="2" t="n">
        <v>2020</v>
      </c>
      <c r="D337" s="2" t="s">
        <v>37</v>
      </c>
      <c r="E337" s="2" t="s">
        <v>672</v>
      </c>
      <c r="F337" s="2"/>
      <c r="G337" s="2" t="s">
        <v>689</v>
      </c>
      <c r="H337" s="2" t="s">
        <v>266</v>
      </c>
      <c r="I337" s="4"/>
      <c r="J337" s="4"/>
      <c r="K337" s="4"/>
    </row>
    <row r="338" customFormat="false" ht="57.45" hidden="false" customHeight="false" outlineLevel="0" collapsed="false">
      <c r="A338" s="2" t="s">
        <v>676</v>
      </c>
      <c r="B338" s="2" t="s">
        <v>677</v>
      </c>
      <c r="C338" s="2" t="n">
        <v>2020</v>
      </c>
      <c r="D338" s="2" t="s">
        <v>39</v>
      </c>
      <c r="E338" s="2" t="s">
        <v>690</v>
      </c>
      <c r="F338" s="2"/>
      <c r="G338" s="2" t="s">
        <v>691</v>
      </c>
      <c r="H338" s="2" t="s">
        <v>266</v>
      </c>
      <c r="I338" s="4"/>
      <c r="J338" s="4"/>
      <c r="K338" s="4"/>
    </row>
    <row r="339" customFormat="false" ht="35.05" hidden="false" customHeight="false" outlineLevel="0" collapsed="false">
      <c r="A339" s="2" t="s">
        <v>692</v>
      </c>
      <c r="B339" s="2" t="s">
        <v>693</v>
      </c>
      <c r="C339" s="2" t="n">
        <v>2020</v>
      </c>
      <c r="D339" s="2" t="s">
        <v>20</v>
      </c>
      <c r="E339" s="2" t="s">
        <v>694</v>
      </c>
      <c r="F339" s="2" t="s">
        <v>695</v>
      </c>
      <c r="G339" s="2" t="s">
        <v>696</v>
      </c>
      <c r="H339" s="2"/>
      <c r="I339" s="4"/>
      <c r="J339" s="4"/>
      <c r="K339" s="4"/>
    </row>
    <row r="340" customFormat="false" ht="23.85" hidden="false" customHeight="false" outlineLevel="0" collapsed="false">
      <c r="A340" s="2" t="s">
        <v>692</v>
      </c>
      <c r="B340" s="2" t="s">
        <v>693</v>
      </c>
      <c r="C340" s="2" t="n">
        <v>2020</v>
      </c>
      <c r="D340" s="2" t="s">
        <v>24</v>
      </c>
      <c r="E340" s="2" t="s">
        <v>161</v>
      </c>
      <c r="F340" s="2"/>
      <c r="G340" s="2" t="s">
        <v>697</v>
      </c>
      <c r="H340" s="2"/>
      <c r="I340" s="4"/>
      <c r="J340" s="4"/>
      <c r="K340" s="4"/>
    </row>
    <row r="341" customFormat="false" ht="23.85" hidden="false" customHeight="false" outlineLevel="0" collapsed="false">
      <c r="A341" s="2" t="s">
        <v>692</v>
      </c>
      <c r="B341" s="2" t="s">
        <v>693</v>
      </c>
      <c r="C341" s="2" t="n">
        <v>2020</v>
      </c>
      <c r="D341" s="2" t="s">
        <v>27</v>
      </c>
      <c r="E341" s="2" t="s">
        <v>28</v>
      </c>
      <c r="F341" s="2" t="s">
        <v>698</v>
      </c>
      <c r="G341" s="2" t="s">
        <v>699</v>
      </c>
      <c r="H341" s="2"/>
      <c r="I341" s="4"/>
      <c r="J341" s="4"/>
      <c r="K341" s="4"/>
    </row>
    <row r="342" customFormat="false" ht="35.05" hidden="false" customHeight="false" outlineLevel="0" collapsed="false">
      <c r="A342" s="2" t="s">
        <v>692</v>
      </c>
      <c r="B342" s="2" t="s">
        <v>693</v>
      </c>
      <c r="C342" s="2" t="n">
        <v>2020</v>
      </c>
      <c r="D342" s="2" t="s">
        <v>31</v>
      </c>
      <c r="E342" s="2" t="s">
        <v>700</v>
      </c>
      <c r="F342" s="2" t="s">
        <v>701</v>
      </c>
      <c r="G342" s="2" t="s">
        <v>702</v>
      </c>
      <c r="H342" s="2"/>
      <c r="I342" s="4"/>
      <c r="J342" s="4"/>
      <c r="K342" s="4"/>
    </row>
    <row r="343" customFormat="false" ht="23.85" hidden="false" customHeight="false" outlineLevel="0" collapsed="false">
      <c r="A343" s="2" t="s">
        <v>692</v>
      </c>
      <c r="B343" s="2" t="s">
        <v>693</v>
      </c>
      <c r="C343" s="2" t="n">
        <v>2020</v>
      </c>
      <c r="D343" s="2" t="s">
        <v>33</v>
      </c>
      <c r="E343" s="2" t="s">
        <v>703</v>
      </c>
      <c r="F343" s="2" t="s">
        <v>704</v>
      </c>
      <c r="G343" s="2" t="s">
        <v>705</v>
      </c>
      <c r="H343" s="2"/>
      <c r="I343" s="4"/>
      <c r="J343" s="4"/>
      <c r="K343" s="4"/>
    </row>
    <row r="344" customFormat="false" ht="23.85" hidden="false" customHeight="false" outlineLevel="0" collapsed="false">
      <c r="A344" s="2" t="s">
        <v>692</v>
      </c>
      <c r="B344" s="2" t="s">
        <v>693</v>
      </c>
      <c r="C344" s="2" t="n">
        <v>2020</v>
      </c>
      <c r="D344" s="2" t="s">
        <v>37</v>
      </c>
      <c r="E344" s="2" t="s">
        <v>38</v>
      </c>
      <c r="F344" s="2"/>
      <c r="G344" s="2" t="s">
        <v>706</v>
      </c>
      <c r="H344" s="2"/>
      <c r="I344" s="4"/>
      <c r="J344" s="4"/>
      <c r="K344" s="4"/>
    </row>
    <row r="345" customFormat="false" ht="57.45" hidden="false" customHeight="false" outlineLevel="0" collapsed="false">
      <c r="A345" s="2" t="s">
        <v>692</v>
      </c>
      <c r="B345" s="2" t="s">
        <v>693</v>
      </c>
      <c r="C345" s="2" t="n">
        <v>2020</v>
      </c>
      <c r="D345" s="2" t="s">
        <v>39</v>
      </c>
      <c r="E345" s="2" t="s">
        <v>707</v>
      </c>
      <c r="F345" s="2"/>
      <c r="G345" s="2" t="s">
        <v>708</v>
      </c>
      <c r="H345" s="2"/>
      <c r="I345" s="4"/>
      <c r="J345" s="4"/>
      <c r="K345" s="4"/>
    </row>
    <row r="346" customFormat="false" ht="35.05" hidden="false" customHeight="false" outlineLevel="0" collapsed="false">
      <c r="A346" s="2" t="s">
        <v>709</v>
      </c>
      <c r="B346" s="2" t="s">
        <v>710</v>
      </c>
      <c r="C346" s="2" t="n">
        <v>2020</v>
      </c>
      <c r="D346" s="2" t="s">
        <v>20</v>
      </c>
      <c r="E346" s="2" t="s">
        <v>711</v>
      </c>
      <c r="F346" s="2" t="s">
        <v>712</v>
      </c>
      <c r="G346" s="2" t="s">
        <v>713</v>
      </c>
      <c r="H346" s="2" t="s">
        <v>266</v>
      </c>
      <c r="I346" s="4"/>
      <c r="J346" s="4"/>
      <c r="K346" s="4"/>
    </row>
    <row r="347" customFormat="false" ht="23.85" hidden="false" customHeight="false" outlineLevel="0" collapsed="false">
      <c r="A347" s="2" t="s">
        <v>709</v>
      </c>
      <c r="B347" s="2" t="s">
        <v>710</v>
      </c>
      <c r="C347" s="2" t="n">
        <v>2020</v>
      </c>
      <c r="D347" s="2" t="s">
        <v>24</v>
      </c>
      <c r="E347" s="2" t="s">
        <v>714</v>
      </c>
      <c r="F347" s="2"/>
      <c r="G347" s="2" t="s">
        <v>715</v>
      </c>
      <c r="H347" s="2" t="s">
        <v>266</v>
      </c>
      <c r="I347" s="4"/>
      <c r="J347" s="4"/>
      <c r="K347" s="4"/>
    </row>
    <row r="348" customFormat="false" ht="46.25" hidden="false" customHeight="false" outlineLevel="0" collapsed="false">
      <c r="A348" s="2" t="s">
        <v>709</v>
      </c>
      <c r="B348" s="2" t="s">
        <v>710</v>
      </c>
      <c r="C348" s="2" t="n">
        <v>2020</v>
      </c>
      <c r="D348" s="2" t="s">
        <v>27</v>
      </c>
      <c r="E348" s="2" t="s">
        <v>716</v>
      </c>
      <c r="F348" s="2" t="s">
        <v>717</v>
      </c>
      <c r="G348" s="2" t="s">
        <v>718</v>
      </c>
      <c r="H348" s="2" t="s">
        <v>266</v>
      </c>
      <c r="I348" s="4"/>
      <c r="J348" s="4"/>
      <c r="K348" s="4"/>
    </row>
    <row r="349" customFormat="false" ht="35.05" hidden="false" customHeight="false" outlineLevel="0" collapsed="false">
      <c r="A349" s="2" t="s">
        <v>709</v>
      </c>
      <c r="B349" s="2" t="s">
        <v>710</v>
      </c>
      <c r="C349" s="2" t="n">
        <v>2020</v>
      </c>
      <c r="D349" s="2" t="s">
        <v>31</v>
      </c>
      <c r="E349" s="2" t="s">
        <v>719</v>
      </c>
      <c r="F349" s="2" t="s">
        <v>720</v>
      </c>
      <c r="G349" s="2" t="s">
        <v>721</v>
      </c>
      <c r="H349" s="2" t="s">
        <v>266</v>
      </c>
      <c r="I349" s="4"/>
      <c r="J349" s="4"/>
      <c r="K349" s="4"/>
    </row>
    <row r="350" customFormat="false" ht="46.25" hidden="false" customHeight="false" outlineLevel="0" collapsed="false">
      <c r="A350" s="2" t="s">
        <v>709</v>
      </c>
      <c r="B350" s="2" t="s">
        <v>710</v>
      </c>
      <c r="C350" s="2" t="n">
        <v>2020</v>
      </c>
      <c r="D350" s="2" t="s">
        <v>33</v>
      </c>
      <c r="E350" s="2" t="s">
        <v>86</v>
      </c>
      <c r="F350" s="2" t="s">
        <v>722</v>
      </c>
      <c r="G350" s="2" t="s">
        <v>723</v>
      </c>
      <c r="H350" s="2" t="s">
        <v>266</v>
      </c>
      <c r="I350" s="4"/>
      <c r="J350" s="4"/>
      <c r="K350" s="4"/>
    </row>
    <row r="351" customFormat="false" ht="15" hidden="false" customHeight="false" outlineLevel="0" collapsed="false">
      <c r="A351" s="2" t="s">
        <v>709</v>
      </c>
      <c r="B351" s="2" t="s">
        <v>710</v>
      </c>
      <c r="C351" s="2" t="n">
        <v>2020</v>
      </c>
      <c r="D351" s="2" t="s">
        <v>37</v>
      </c>
      <c r="E351" s="2" t="s">
        <v>38</v>
      </c>
      <c r="F351" s="2"/>
      <c r="G351" s="2"/>
      <c r="H351" s="2" t="s">
        <v>266</v>
      </c>
      <c r="I351" s="4"/>
      <c r="J351" s="4"/>
      <c r="K351" s="4"/>
    </row>
    <row r="352" customFormat="false" ht="79.85" hidden="false" customHeight="false" outlineLevel="0" collapsed="false">
      <c r="A352" s="2" t="s">
        <v>709</v>
      </c>
      <c r="B352" s="2" t="s">
        <v>710</v>
      </c>
      <c r="C352" s="2" t="n">
        <v>2020</v>
      </c>
      <c r="D352" s="2" t="s">
        <v>39</v>
      </c>
      <c r="E352" s="2" t="s">
        <v>724</v>
      </c>
      <c r="F352" s="2"/>
      <c r="G352" s="2" t="s">
        <v>725</v>
      </c>
      <c r="H352" s="2" t="s">
        <v>266</v>
      </c>
      <c r="I352" s="4"/>
      <c r="J352" s="4"/>
      <c r="K352" s="4"/>
    </row>
    <row r="353" customFormat="false" ht="35.05" hidden="false" customHeight="false" outlineLevel="0" collapsed="false">
      <c r="A353" s="2" t="s">
        <v>726</v>
      </c>
      <c r="B353" s="2" t="s">
        <v>727</v>
      </c>
      <c r="C353" s="2" t="n">
        <v>2021</v>
      </c>
      <c r="D353" s="2" t="s">
        <v>20</v>
      </c>
      <c r="E353" s="2" t="s">
        <v>728</v>
      </c>
      <c r="F353" s="2" t="s">
        <v>729</v>
      </c>
      <c r="G353" s="2" t="s">
        <v>730</v>
      </c>
      <c r="H353" s="2" t="s">
        <v>47</v>
      </c>
      <c r="I353" s="4"/>
      <c r="J353" s="4"/>
      <c r="K353" s="4"/>
    </row>
    <row r="354" customFormat="false" ht="35.05" hidden="false" customHeight="false" outlineLevel="0" collapsed="false">
      <c r="A354" s="2" t="s">
        <v>726</v>
      </c>
      <c r="B354" s="2" t="s">
        <v>727</v>
      </c>
      <c r="C354" s="2" t="n">
        <v>2021</v>
      </c>
      <c r="D354" s="2" t="s">
        <v>24</v>
      </c>
      <c r="E354" s="2" t="s">
        <v>731</v>
      </c>
      <c r="F354" s="2"/>
      <c r="G354" s="2" t="s">
        <v>732</v>
      </c>
      <c r="H354" s="2" t="s">
        <v>47</v>
      </c>
      <c r="I354" s="4"/>
      <c r="J354" s="4"/>
      <c r="K354" s="4"/>
    </row>
    <row r="355" customFormat="false" ht="46.25" hidden="false" customHeight="false" outlineLevel="0" collapsed="false">
      <c r="A355" s="2" t="s">
        <v>726</v>
      </c>
      <c r="B355" s="2" t="s">
        <v>727</v>
      </c>
      <c r="C355" s="2" t="n">
        <v>2021</v>
      </c>
      <c r="D355" s="2" t="s">
        <v>27</v>
      </c>
      <c r="E355" s="2" t="s">
        <v>733</v>
      </c>
      <c r="F355" s="2" t="s">
        <v>734</v>
      </c>
      <c r="G355" s="2" t="s">
        <v>735</v>
      </c>
      <c r="H355" s="2" t="s">
        <v>47</v>
      </c>
      <c r="I355" s="4"/>
      <c r="J355" s="4"/>
      <c r="K355" s="4"/>
    </row>
    <row r="356" customFormat="false" ht="46.25" hidden="false" customHeight="false" outlineLevel="0" collapsed="false">
      <c r="A356" s="2" t="s">
        <v>726</v>
      </c>
      <c r="B356" s="2" t="s">
        <v>727</v>
      </c>
      <c r="C356" s="2" t="n">
        <v>2021</v>
      </c>
      <c r="D356" s="2" t="s">
        <v>31</v>
      </c>
      <c r="E356" s="2" t="s">
        <v>736</v>
      </c>
      <c r="F356" s="2" t="s">
        <v>737</v>
      </c>
      <c r="G356" s="2" t="s">
        <v>738</v>
      </c>
      <c r="H356" s="2" t="s">
        <v>47</v>
      </c>
      <c r="I356" s="4"/>
      <c r="J356" s="4"/>
      <c r="K356" s="4"/>
    </row>
    <row r="357" customFormat="false" ht="35.05" hidden="false" customHeight="false" outlineLevel="0" collapsed="false">
      <c r="A357" s="2" t="s">
        <v>726</v>
      </c>
      <c r="B357" s="2" t="s">
        <v>727</v>
      </c>
      <c r="C357" s="2" t="n">
        <v>2021</v>
      </c>
      <c r="D357" s="2" t="s">
        <v>33</v>
      </c>
      <c r="E357" s="2" t="s">
        <v>739</v>
      </c>
      <c r="F357" s="2" t="s">
        <v>740</v>
      </c>
      <c r="G357" s="2" t="s">
        <v>741</v>
      </c>
      <c r="H357" s="2" t="s">
        <v>47</v>
      </c>
      <c r="I357" s="4"/>
      <c r="J357" s="4"/>
      <c r="K357" s="4"/>
    </row>
    <row r="358" customFormat="false" ht="15" hidden="false" customHeight="false" outlineLevel="0" collapsed="false">
      <c r="A358" s="2" t="s">
        <v>726</v>
      </c>
      <c r="B358" s="2" t="s">
        <v>727</v>
      </c>
      <c r="C358" s="2" t="n">
        <v>2021</v>
      </c>
      <c r="D358" s="2" t="s">
        <v>37</v>
      </c>
      <c r="E358" s="2" t="s">
        <v>38</v>
      </c>
      <c r="F358" s="2"/>
      <c r="G358" s="2"/>
      <c r="H358" s="2" t="s">
        <v>47</v>
      </c>
      <c r="I358" s="4"/>
      <c r="J358" s="4"/>
      <c r="K358" s="4"/>
    </row>
    <row r="359" customFormat="false" ht="46.25" hidden="false" customHeight="false" outlineLevel="0" collapsed="false">
      <c r="A359" s="2" t="s">
        <v>726</v>
      </c>
      <c r="B359" s="2" t="s">
        <v>727</v>
      </c>
      <c r="C359" s="2" t="n">
        <v>2021</v>
      </c>
      <c r="D359" s="2" t="s">
        <v>39</v>
      </c>
      <c r="E359" s="2" t="s">
        <v>742</v>
      </c>
      <c r="F359" s="2"/>
      <c r="G359" s="2" t="s">
        <v>743</v>
      </c>
      <c r="H359" s="2" t="s">
        <v>47</v>
      </c>
      <c r="I359" s="4"/>
      <c r="J359" s="4"/>
      <c r="K359" s="4"/>
    </row>
    <row r="360" customFormat="false" ht="35.05" hidden="false" customHeight="false" outlineLevel="0" collapsed="false">
      <c r="A360" s="2" t="s">
        <v>744</v>
      </c>
      <c r="B360" s="2" t="s">
        <v>745</v>
      </c>
      <c r="C360" s="2" t="n">
        <v>2021</v>
      </c>
      <c r="D360" s="2" t="s">
        <v>20</v>
      </c>
      <c r="E360" s="2" t="s">
        <v>746</v>
      </c>
      <c r="F360" s="2" t="s">
        <v>747</v>
      </c>
      <c r="G360" s="2" t="s">
        <v>748</v>
      </c>
      <c r="H360" s="2"/>
      <c r="I360" s="4"/>
      <c r="J360" s="4"/>
      <c r="K360" s="4"/>
    </row>
    <row r="361" customFormat="false" ht="23.85" hidden="false" customHeight="false" outlineLevel="0" collapsed="false">
      <c r="A361" s="2" t="s">
        <v>744</v>
      </c>
      <c r="B361" s="2" t="s">
        <v>745</v>
      </c>
      <c r="C361" s="2" t="n">
        <v>2021</v>
      </c>
      <c r="D361" s="2" t="s">
        <v>24</v>
      </c>
      <c r="E361" s="2" t="s">
        <v>281</v>
      </c>
      <c r="F361" s="2"/>
      <c r="G361" s="2" t="s">
        <v>749</v>
      </c>
      <c r="H361" s="2"/>
      <c r="I361" s="4"/>
      <c r="J361" s="4"/>
      <c r="K361" s="4"/>
    </row>
    <row r="362" customFormat="false" ht="35.05" hidden="false" customHeight="false" outlineLevel="0" collapsed="false">
      <c r="A362" s="2" t="s">
        <v>744</v>
      </c>
      <c r="B362" s="2" t="s">
        <v>745</v>
      </c>
      <c r="C362" s="2" t="n">
        <v>2021</v>
      </c>
      <c r="D362" s="2" t="s">
        <v>27</v>
      </c>
      <c r="E362" s="2" t="s">
        <v>750</v>
      </c>
      <c r="F362" s="2" t="s">
        <v>751</v>
      </c>
      <c r="G362" s="2" t="s">
        <v>752</v>
      </c>
      <c r="H362" s="2"/>
      <c r="I362" s="4"/>
      <c r="J362" s="4"/>
      <c r="K362" s="4"/>
    </row>
    <row r="363" customFormat="false" ht="35.05" hidden="false" customHeight="false" outlineLevel="0" collapsed="false">
      <c r="A363" s="2" t="s">
        <v>744</v>
      </c>
      <c r="B363" s="2" t="s">
        <v>745</v>
      </c>
      <c r="C363" s="2" t="n">
        <v>2021</v>
      </c>
      <c r="D363" s="2" t="s">
        <v>31</v>
      </c>
      <c r="E363" s="2" t="s">
        <v>753</v>
      </c>
      <c r="F363" s="2" t="s">
        <v>754</v>
      </c>
      <c r="G363" s="2" t="s">
        <v>755</v>
      </c>
      <c r="H363" s="2"/>
      <c r="I363" s="4"/>
      <c r="J363" s="4"/>
      <c r="K363" s="4"/>
    </row>
    <row r="364" customFormat="false" ht="35.05" hidden="false" customHeight="false" outlineLevel="0" collapsed="false">
      <c r="A364" s="2" t="s">
        <v>744</v>
      </c>
      <c r="B364" s="2" t="s">
        <v>745</v>
      </c>
      <c r="C364" s="2" t="n">
        <v>2021</v>
      </c>
      <c r="D364" s="2" t="s">
        <v>33</v>
      </c>
      <c r="E364" s="2" t="s">
        <v>303</v>
      </c>
      <c r="F364" s="2" t="s">
        <v>756</v>
      </c>
      <c r="G364" s="2" t="s">
        <v>752</v>
      </c>
      <c r="H364" s="2"/>
      <c r="I364" s="4"/>
      <c r="J364" s="4"/>
      <c r="K364" s="4"/>
    </row>
    <row r="365" customFormat="false" ht="35.05" hidden="false" customHeight="false" outlineLevel="0" collapsed="false">
      <c r="A365" s="2" t="s">
        <v>744</v>
      </c>
      <c r="B365" s="2" t="s">
        <v>745</v>
      </c>
      <c r="C365" s="2" t="n">
        <v>2021</v>
      </c>
      <c r="D365" s="2" t="s">
        <v>37</v>
      </c>
      <c r="E365" s="2" t="s">
        <v>757</v>
      </c>
      <c r="F365" s="2"/>
      <c r="G365" s="2" t="s">
        <v>758</v>
      </c>
      <c r="H365" s="2"/>
      <c r="I365" s="4"/>
      <c r="J365" s="4"/>
      <c r="K365" s="4"/>
    </row>
    <row r="366" customFormat="false" ht="68.65" hidden="false" customHeight="false" outlineLevel="0" collapsed="false">
      <c r="A366" s="2" t="s">
        <v>744</v>
      </c>
      <c r="B366" s="2" t="s">
        <v>745</v>
      </c>
      <c r="C366" s="2" t="n">
        <v>2021</v>
      </c>
      <c r="D366" s="2" t="s">
        <v>39</v>
      </c>
      <c r="E366" s="2" t="s">
        <v>759</v>
      </c>
      <c r="F366" s="2"/>
      <c r="G366" s="2" t="s">
        <v>760</v>
      </c>
      <c r="H366" s="2"/>
      <c r="I366" s="4"/>
      <c r="J366" s="4"/>
      <c r="K366" s="4"/>
    </row>
    <row r="367" customFormat="false" ht="35.05" hidden="false" customHeight="false" outlineLevel="0" collapsed="false">
      <c r="A367" s="2" t="s">
        <v>744</v>
      </c>
      <c r="B367" s="2" t="s">
        <v>745</v>
      </c>
      <c r="C367" s="2" t="n">
        <v>2021</v>
      </c>
      <c r="D367" s="2" t="s">
        <v>57</v>
      </c>
      <c r="E367" s="2" t="s">
        <v>58</v>
      </c>
      <c r="F367" s="2" t="s">
        <v>754</v>
      </c>
      <c r="G367" s="2" t="s">
        <v>755</v>
      </c>
      <c r="H367" s="2"/>
      <c r="I367" s="4"/>
      <c r="J367" s="4"/>
      <c r="K367" s="4"/>
    </row>
    <row r="368" customFormat="false" ht="68.65" hidden="false" customHeight="false" outlineLevel="0" collapsed="false">
      <c r="A368" s="2" t="s">
        <v>761</v>
      </c>
      <c r="B368" s="2" t="s">
        <v>762</v>
      </c>
      <c r="C368" s="2" t="n">
        <v>2021</v>
      </c>
      <c r="D368" s="2" t="s">
        <v>20</v>
      </c>
      <c r="E368" s="2" t="s">
        <v>763</v>
      </c>
      <c r="F368" s="2" t="s">
        <v>764</v>
      </c>
      <c r="G368" s="2" t="s">
        <v>765</v>
      </c>
      <c r="H368" s="2" t="s">
        <v>266</v>
      </c>
      <c r="I368" s="4"/>
      <c r="J368" s="4"/>
      <c r="K368" s="4"/>
    </row>
    <row r="369" customFormat="false" ht="35.05" hidden="false" customHeight="false" outlineLevel="0" collapsed="false">
      <c r="A369" s="2" t="s">
        <v>761</v>
      </c>
      <c r="B369" s="2" t="s">
        <v>762</v>
      </c>
      <c r="C369" s="2" t="n">
        <v>2021</v>
      </c>
      <c r="D369" s="2" t="s">
        <v>24</v>
      </c>
      <c r="E369" s="2" t="s">
        <v>93</v>
      </c>
      <c r="F369" s="2"/>
      <c r="G369" s="2" t="s">
        <v>766</v>
      </c>
      <c r="H369" s="2" t="s">
        <v>266</v>
      </c>
      <c r="I369" s="4"/>
      <c r="J369" s="4"/>
      <c r="K369" s="4"/>
    </row>
    <row r="370" customFormat="false" ht="57.45" hidden="false" customHeight="false" outlineLevel="0" collapsed="false">
      <c r="A370" s="2" t="s">
        <v>761</v>
      </c>
      <c r="B370" s="2" t="s">
        <v>762</v>
      </c>
      <c r="C370" s="2" t="n">
        <v>2021</v>
      </c>
      <c r="D370" s="2" t="s">
        <v>27</v>
      </c>
      <c r="E370" s="2" t="s">
        <v>767</v>
      </c>
      <c r="F370" s="2" t="s">
        <v>768</v>
      </c>
      <c r="G370" s="2" t="s">
        <v>769</v>
      </c>
      <c r="H370" s="2" t="s">
        <v>266</v>
      </c>
      <c r="I370" s="4"/>
      <c r="J370" s="4"/>
      <c r="K370" s="4"/>
    </row>
    <row r="371" customFormat="false" ht="23.85" hidden="false" customHeight="false" outlineLevel="0" collapsed="false">
      <c r="A371" s="2" t="s">
        <v>761</v>
      </c>
      <c r="B371" s="2" t="s">
        <v>762</v>
      </c>
      <c r="C371" s="2" t="n">
        <v>2021</v>
      </c>
      <c r="D371" s="2" t="s">
        <v>31</v>
      </c>
      <c r="E371" s="2" t="s">
        <v>238</v>
      </c>
      <c r="F371" s="2" t="s">
        <v>770</v>
      </c>
      <c r="G371" s="2" t="s">
        <v>771</v>
      </c>
      <c r="H371" s="2" t="s">
        <v>266</v>
      </c>
      <c r="I371" s="4"/>
      <c r="J371" s="4"/>
      <c r="K371" s="4"/>
    </row>
    <row r="372" customFormat="false" ht="35.05" hidden="false" customHeight="false" outlineLevel="0" collapsed="false">
      <c r="A372" s="2" t="s">
        <v>761</v>
      </c>
      <c r="B372" s="2" t="s">
        <v>762</v>
      </c>
      <c r="C372" s="2" t="n">
        <v>2021</v>
      </c>
      <c r="D372" s="2" t="s">
        <v>33</v>
      </c>
      <c r="E372" s="2" t="s">
        <v>772</v>
      </c>
      <c r="F372" s="2" t="s">
        <v>773</v>
      </c>
      <c r="G372" s="2" t="s">
        <v>774</v>
      </c>
      <c r="H372" s="2" t="s">
        <v>266</v>
      </c>
      <c r="I372" s="4"/>
      <c r="J372" s="4"/>
      <c r="K372" s="4"/>
    </row>
    <row r="373" customFormat="false" ht="35.05" hidden="false" customHeight="false" outlineLevel="0" collapsed="false">
      <c r="A373" s="2" t="s">
        <v>761</v>
      </c>
      <c r="B373" s="2" t="s">
        <v>762</v>
      </c>
      <c r="C373" s="2" t="n">
        <v>2021</v>
      </c>
      <c r="D373" s="2" t="s">
        <v>37</v>
      </c>
      <c r="E373" s="2" t="s">
        <v>775</v>
      </c>
      <c r="F373" s="2"/>
      <c r="G373" s="2" t="s">
        <v>776</v>
      </c>
      <c r="H373" s="2" t="s">
        <v>266</v>
      </c>
      <c r="I373" s="4"/>
      <c r="J373" s="4"/>
      <c r="K373" s="4"/>
    </row>
    <row r="374" customFormat="false" ht="57.45" hidden="false" customHeight="false" outlineLevel="0" collapsed="false">
      <c r="A374" s="2" t="s">
        <v>761</v>
      </c>
      <c r="B374" s="2" t="s">
        <v>762</v>
      </c>
      <c r="C374" s="2" t="n">
        <v>2021</v>
      </c>
      <c r="D374" s="2" t="s">
        <v>39</v>
      </c>
      <c r="E374" s="2" t="s">
        <v>777</v>
      </c>
      <c r="F374" s="2"/>
      <c r="G374" s="2" t="s">
        <v>778</v>
      </c>
      <c r="H374" s="2" t="s">
        <v>266</v>
      </c>
      <c r="I374" s="4"/>
      <c r="J374" s="4"/>
      <c r="K374" s="4"/>
    </row>
    <row r="375" customFormat="false" ht="23.85" hidden="false" customHeight="false" outlineLevel="0" collapsed="false">
      <c r="A375" s="2" t="s">
        <v>761</v>
      </c>
      <c r="B375" s="2" t="s">
        <v>762</v>
      </c>
      <c r="C375" s="2" t="n">
        <v>2021</v>
      </c>
      <c r="D375" s="2" t="s">
        <v>57</v>
      </c>
      <c r="E375" s="2" t="s">
        <v>341</v>
      </c>
      <c r="F375" s="2"/>
      <c r="G375" s="2" t="s">
        <v>771</v>
      </c>
      <c r="H375" s="2" t="s">
        <v>266</v>
      </c>
      <c r="I375" s="4"/>
      <c r="J375" s="4"/>
      <c r="K375" s="4"/>
    </row>
    <row r="376" customFormat="false" ht="57.45" hidden="false" customHeight="false" outlineLevel="0" collapsed="false">
      <c r="A376" s="2" t="s">
        <v>779</v>
      </c>
      <c r="B376" s="2" t="s">
        <v>780</v>
      </c>
      <c r="C376" s="2" t="n">
        <v>2022</v>
      </c>
      <c r="D376" s="2" t="s">
        <v>20</v>
      </c>
      <c r="E376" s="2" t="s">
        <v>781</v>
      </c>
      <c r="F376" s="2" t="s">
        <v>782</v>
      </c>
      <c r="G376" s="2" t="s">
        <v>783</v>
      </c>
      <c r="H376" s="2" t="s">
        <v>266</v>
      </c>
      <c r="I376" s="4"/>
      <c r="J376" s="4"/>
      <c r="K376" s="4"/>
    </row>
    <row r="377" customFormat="false" ht="23.85" hidden="false" customHeight="false" outlineLevel="0" collapsed="false">
      <c r="A377" s="2" t="s">
        <v>779</v>
      </c>
      <c r="B377" s="2" t="s">
        <v>780</v>
      </c>
      <c r="C377" s="2" t="n">
        <v>2022</v>
      </c>
      <c r="D377" s="2" t="s">
        <v>24</v>
      </c>
      <c r="E377" s="2" t="s">
        <v>519</v>
      </c>
      <c r="F377" s="2"/>
      <c r="G377" s="2" t="s">
        <v>784</v>
      </c>
      <c r="H377" s="2" t="s">
        <v>266</v>
      </c>
      <c r="I377" s="4"/>
      <c r="J377" s="4"/>
      <c r="K377" s="4"/>
    </row>
    <row r="378" customFormat="false" ht="46.25" hidden="false" customHeight="false" outlineLevel="0" collapsed="false">
      <c r="A378" s="2" t="s">
        <v>779</v>
      </c>
      <c r="B378" s="2" t="s">
        <v>780</v>
      </c>
      <c r="C378" s="2" t="n">
        <v>2022</v>
      </c>
      <c r="D378" s="2" t="s">
        <v>27</v>
      </c>
      <c r="E378" s="2" t="s">
        <v>174</v>
      </c>
      <c r="F378" s="2" t="s">
        <v>785</v>
      </c>
      <c r="G378" s="2" t="s">
        <v>786</v>
      </c>
      <c r="H378" s="2" t="s">
        <v>266</v>
      </c>
      <c r="I378" s="4"/>
      <c r="J378" s="4"/>
      <c r="K378" s="4"/>
    </row>
    <row r="379" customFormat="false" ht="23.85" hidden="false" customHeight="false" outlineLevel="0" collapsed="false">
      <c r="A379" s="2" t="s">
        <v>779</v>
      </c>
      <c r="B379" s="2" t="s">
        <v>780</v>
      </c>
      <c r="C379" s="2" t="n">
        <v>2022</v>
      </c>
      <c r="D379" s="2" t="s">
        <v>31</v>
      </c>
      <c r="E379" s="2" t="s">
        <v>95</v>
      </c>
      <c r="F379" s="2" t="s">
        <v>787</v>
      </c>
      <c r="G379" s="2" t="s">
        <v>788</v>
      </c>
      <c r="H379" s="2" t="s">
        <v>266</v>
      </c>
      <c r="I379" s="4"/>
      <c r="J379" s="4"/>
      <c r="K379" s="4"/>
    </row>
    <row r="380" customFormat="false" ht="79.85" hidden="false" customHeight="false" outlineLevel="0" collapsed="false">
      <c r="A380" s="2" t="s">
        <v>779</v>
      </c>
      <c r="B380" s="2" t="s">
        <v>780</v>
      </c>
      <c r="C380" s="2" t="n">
        <v>2022</v>
      </c>
      <c r="D380" s="2" t="s">
        <v>33</v>
      </c>
      <c r="E380" s="2" t="s">
        <v>789</v>
      </c>
      <c r="F380" s="2" t="s">
        <v>790</v>
      </c>
      <c r="G380" s="2" t="s">
        <v>791</v>
      </c>
      <c r="H380" s="2" t="s">
        <v>266</v>
      </c>
      <c r="I380" s="4"/>
      <c r="J380" s="4"/>
      <c r="K380" s="4"/>
    </row>
    <row r="381" customFormat="false" ht="57.45" hidden="false" customHeight="false" outlineLevel="0" collapsed="false">
      <c r="A381" s="2" t="s">
        <v>779</v>
      </c>
      <c r="B381" s="2" t="s">
        <v>780</v>
      </c>
      <c r="C381" s="2" t="n">
        <v>2022</v>
      </c>
      <c r="D381" s="2" t="s">
        <v>37</v>
      </c>
      <c r="E381" s="2" t="s">
        <v>792</v>
      </c>
      <c r="F381" s="2"/>
      <c r="G381" s="2" t="s">
        <v>793</v>
      </c>
      <c r="H381" s="2" t="s">
        <v>266</v>
      </c>
      <c r="I381" s="4"/>
      <c r="J381" s="4"/>
      <c r="K381" s="4"/>
    </row>
    <row r="382" customFormat="false" ht="15" hidden="false" customHeight="false" outlineLevel="0" collapsed="false">
      <c r="A382" s="2" t="s">
        <v>779</v>
      </c>
      <c r="B382" s="2" t="s">
        <v>780</v>
      </c>
      <c r="C382" s="2" t="n">
        <v>2022</v>
      </c>
      <c r="D382" s="2" t="s">
        <v>39</v>
      </c>
      <c r="E382" s="2" t="s">
        <v>38</v>
      </c>
      <c r="F382" s="2"/>
      <c r="G382" s="2"/>
      <c r="H382" s="2" t="s">
        <v>266</v>
      </c>
      <c r="I382" s="4"/>
      <c r="J382" s="4"/>
      <c r="K382" s="4"/>
    </row>
    <row r="383" customFormat="false" ht="46.25" hidden="false" customHeight="false" outlineLevel="0" collapsed="false">
      <c r="A383" s="2" t="s">
        <v>794</v>
      </c>
      <c r="B383" s="2" t="s">
        <v>795</v>
      </c>
      <c r="C383" s="2" t="n">
        <v>2022</v>
      </c>
      <c r="D383" s="2" t="s">
        <v>20</v>
      </c>
      <c r="E383" s="2" t="s">
        <v>796</v>
      </c>
      <c r="F383" s="2" t="s">
        <v>797</v>
      </c>
      <c r="G383" s="2" t="s">
        <v>798</v>
      </c>
      <c r="H383" s="2"/>
      <c r="I383" s="4"/>
      <c r="J383" s="4"/>
      <c r="K383" s="4"/>
    </row>
    <row r="384" customFormat="false" ht="23.85" hidden="false" customHeight="false" outlineLevel="0" collapsed="false">
      <c r="A384" s="2" t="s">
        <v>794</v>
      </c>
      <c r="B384" s="2" t="s">
        <v>795</v>
      </c>
      <c r="C384" s="2" t="n">
        <v>2022</v>
      </c>
      <c r="D384" s="2" t="s">
        <v>24</v>
      </c>
      <c r="E384" s="2" t="s">
        <v>731</v>
      </c>
      <c r="F384" s="2"/>
      <c r="G384" s="2" t="s">
        <v>799</v>
      </c>
      <c r="H384" s="2"/>
      <c r="I384" s="4"/>
      <c r="J384" s="4"/>
      <c r="K384" s="4"/>
    </row>
    <row r="385" customFormat="false" ht="15" hidden="false" customHeight="false" outlineLevel="0" collapsed="false">
      <c r="A385" s="2" t="s">
        <v>794</v>
      </c>
      <c r="B385" s="2" t="s">
        <v>795</v>
      </c>
      <c r="C385" s="2" t="n">
        <v>2022</v>
      </c>
      <c r="D385" s="2" t="s">
        <v>27</v>
      </c>
      <c r="E385" s="2" t="s">
        <v>49</v>
      </c>
      <c r="F385" s="2"/>
      <c r="G385" s="2"/>
      <c r="H385" s="2"/>
      <c r="I385" s="4"/>
      <c r="J385" s="4"/>
      <c r="K385" s="4"/>
    </row>
    <row r="386" customFormat="false" ht="35.05" hidden="false" customHeight="false" outlineLevel="0" collapsed="false">
      <c r="A386" s="2" t="s">
        <v>794</v>
      </c>
      <c r="B386" s="2" t="s">
        <v>795</v>
      </c>
      <c r="C386" s="2" t="n">
        <v>2022</v>
      </c>
      <c r="D386" s="2" t="s">
        <v>31</v>
      </c>
      <c r="E386" s="2" t="s">
        <v>800</v>
      </c>
      <c r="F386" s="2" t="s">
        <v>801</v>
      </c>
      <c r="G386" s="2" t="s">
        <v>802</v>
      </c>
      <c r="H386" s="2"/>
      <c r="I386" s="4"/>
      <c r="J386" s="4"/>
      <c r="K386" s="4"/>
    </row>
    <row r="387" customFormat="false" ht="35.05" hidden="false" customHeight="false" outlineLevel="0" collapsed="false">
      <c r="A387" s="2" t="s">
        <v>794</v>
      </c>
      <c r="B387" s="2" t="s">
        <v>795</v>
      </c>
      <c r="C387" s="2" t="n">
        <v>2022</v>
      </c>
      <c r="D387" s="2" t="s">
        <v>33</v>
      </c>
      <c r="E387" s="2" t="s">
        <v>803</v>
      </c>
      <c r="F387" s="2" t="s">
        <v>804</v>
      </c>
      <c r="G387" s="2" t="s">
        <v>805</v>
      </c>
      <c r="H387" s="2"/>
      <c r="I387" s="4"/>
      <c r="J387" s="4"/>
      <c r="K387" s="4"/>
    </row>
    <row r="388" customFormat="false" ht="46.25" hidden="false" customHeight="false" outlineLevel="0" collapsed="false">
      <c r="A388" s="2" t="s">
        <v>794</v>
      </c>
      <c r="B388" s="2" t="s">
        <v>795</v>
      </c>
      <c r="C388" s="2" t="n">
        <v>2022</v>
      </c>
      <c r="D388" s="2" t="s">
        <v>37</v>
      </c>
      <c r="E388" s="2" t="s">
        <v>491</v>
      </c>
      <c r="F388" s="2"/>
      <c r="G388" s="2" t="s">
        <v>806</v>
      </c>
      <c r="H388" s="2"/>
      <c r="I388" s="4"/>
      <c r="J388" s="4"/>
      <c r="K388" s="4"/>
    </row>
    <row r="389" customFormat="false" ht="15" hidden="false" customHeight="false" outlineLevel="0" collapsed="false">
      <c r="A389" s="2" t="s">
        <v>794</v>
      </c>
      <c r="B389" s="2" t="s">
        <v>795</v>
      </c>
      <c r="C389" s="2" t="n">
        <v>2022</v>
      </c>
      <c r="D389" s="2" t="s">
        <v>39</v>
      </c>
      <c r="E389" s="2" t="s">
        <v>38</v>
      </c>
      <c r="F389" s="2"/>
      <c r="G389" s="2"/>
      <c r="H389" s="2"/>
      <c r="I389" s="4"/>
      <c r="J389" s="4"/>
      <c r="K389" s="4"/>
    </row>
    <row r="390" customFormat="false" ht="35.05" hidden="false" customHeight="false" outlineLevel="0" collapsed="false">
      <c r="A390" s="2" t="s">
        <v>794</v>
      </c>
      <c r="B390" s="2" t="s">
        <v>795</v>
      </c>
      <c r="C390" s="2" t="n">
        <v>2022</v>
      </c>
      <c r="D390" s="2" t="s">
        <v>57</v>
      </c>
      <c r="E390" s="2" t="s">
        <v>58</v>
      </c>
      <c r="F390" s="2" t="s">
        <v>801</v>
      </c>
      <c r="G390" s="2" t="s">
        <v>802</v>
      </c>
      <c r="H390" s="2"/>
      <c r="I390" s="4"/>
      <c r="J390" s="4"/>
      <c r="K390" s="4"/>
    </row>
    <row r="391" customFormat="false" ht="35.05" hidden="false" customHeight="false" outlineLevel="0" collapsed="false">
      <c r="A391" s="2" t="s">
        <v>807</v>
      </c>
      <c r="B391" s="2" t="s">
        <v>808</v>
      </c>
      <c r="C391" s="2" t="n">
        <v>2022</v>
      </c>
      <c r="D391" s="2" t="s">
        <v>20</v>
      </c>
      <c r="E391" s="2" t="s">
        <v>809</v>
      </c>
      <c r="F391" s="2" t="s">
        <v>810</v>
      </c>
      <c r="G391" s="2" t="s">
        <v>811</v>
      </c>
      <c r="H391" s="2"/>
      <c r="I391" s="4"/>
      <c r="J391" s="4"/>
      <c r="K391" s="4"/>
    </row>
    <row r="392" customFormat="false" ht="35.05" hidden="false" customHeight="false" outlineLevel="0" collapsed="false">
      <c r="A392" s="2" t="s">
        <v>807</v>
      </c>
      <c r="B392" s="2" t="s">
        <v>808</v>
      </c>
      <c r="C392" s="2" t="n">
        <v>2022</v>
      </c>
      <c r="D392" s="2" t="s">
        <v>24</v>
      </c>
      <c r="E392" s="2" t="s">
        <v>64</v>
      </c>
      <c r="F392" s="2"/>
      <c r="G392" s="2" t="s">
        <v>812</v>
      </c>
      <c r="H392" s="2"/>
      <c r="I392" s="4"/>
      <c r="J392" s="4"/>
      <c r="K392" s="4"/>
    </row>
    <row r="393" customFormat="false" ht="15" hidden="false" customHeight="false" outlineLevel="0" collapsed="false">
      <c r="A393" s="2" t="s">
        <v>807</v>
      </c>
      <c r="B393" s="2" t="s">
        <v>808</v>
      </c>
      <c r="C393" s="2" t="n">
        <v>2022</v>
      </c>
      <c r="D393" s="2" t="s">
        <v>27</v>
      </c>
      <c r="E393" s="2" t="s">
        <v>49</v>
      </c>
      <c r="F393" s="2"/>
      <c r="G393" s="2"/>
      <c r="H393" s="2"/>
      <c r="I393" s="4"/>
      <c r="J393" s="4"/>
      <c r="K393" s="4"/>
    </row>
    <row r="394" customFormat="false" ht="35.05" hidden="false" customHeight="false" outlineLevel="0" collapsed="false">
      <c r="A394" s="2" t="s">
        <v>807</v>
      </c>
      <c r="B394" s="2" t="s">
        <v>808</v>
      </c>
      <c r="C394" s="2" t="n">
        <v>2022</v>
      </c>
      <c r="D394" s="2" t="s">
        <v>31</v>
      </c>
      <c r="E394" s="2" t="s">
        <v>95</v>
      </c>
      <c r="F394" s="2" t="s">
        <v>813</v>
      </c>
      <c r="G394" s="2" t="s">
        <v>814</v>
      </c>
      <c r="H394" s="2"/>
      <c r="I394" s="4"/>
      <c r="J394" s="4"/>
      <c r="K394" s="4"/>
    </row>
    <row r="395" customFormat="false" ht="35.05" hidden="false" customHeight="false" outlineLevel="0" collapsed="false">
      <c r="A395" s="2" t="s">
        <v>807</v>
      </c>
      <c r="B395" s="2" t="s">
        <v>808</v>
      </c>
      <c r="C395" s="2" t="n">
        <v>2022</v>
      </c>
      <c r="D395" s="2" t="s">
        <v>33</v>
      </c>
      <c r="E395" s="2" t="s">
        <v>180</v>
      </c>
      <c r="F395" s="2" t="s">
        <v>815</v>
      </c>
      <c r="G395" s="2" t="s">
        <v>816</v>
      </c>
      <c r="H395" s="2"/>
      <c r="I395" s="4"/>
      <c r="J395" s="4"/>
      <c r="K395" s="4"/>
    </row>
    <row r="396" customFormat="false" ht="15" hidden="false" customHeight="false" outlineLevel="0" collapsed="false">
      <c r="A396" s="2" t="s">
        <v>807</v>
      </c>
      <c r="B396" s="2" t="s">
        <v>808</v>
      </c>
      <c r="C396" s="2" t="n">
        <v>2022</v>
      </c>
      <c r="D396" s="2" t="s">
        <v>37</v>
      </c>
      <c r="E396" s="2" t="s">
        <v>817</v>
      </c>
      <c r="F396" s="2"/>
      <c r="G396" s="2" t="s">
        <v>818</v>
      </c>
      <c r="H396" s="2"/>
      <c r="I396" s="4"/>
      <c r="J396" s="4"/>
      <c r="K396" s="4"/>
    </row>
    <row r="397" customFormat="false" ht="91" hidden="false" customHeight="false" outlineLevel="0" collapsed="false">
      <c r="A397" s="2" t="s">
        <v>807</v>
      </c>
      <c r="B397" s="2" t="s">
        <v>808</v>
      </c>
      <c r="C397" s="2" t="n">
        <v>2022</v>
      </c>
      <c r="D397" s="2" t="s">
        <v>39</v>
      </c>
      <c r="E397" s="2" t="s">
        <v>819</v>
      </c>
      <c r="F397" s="2"/>
      <c r="G397" s="2" t="s">
        <v>820</v>
      </c>
      <c r="H397" s="2"/>
      <c r="I397" s="4"/>
      <c r="J397" s="4"/>
      <c r="K397" s="4"/>
    </row>
    <row r="398" customFormat="false" ht="35.05" hidden="false" customHeight="false" outlineLevel="0" collapsed="false">
      <c r="A398" s="2" t="s">
        <v>821</v>
      </c>
      <c r="B398" s="2" t="s">
        <v>822</v>
      </c>
      <c r="C398" s="2" t="n">
        <v>2022</v>
      </c>
      <c r="D398" s="2" t="s">
        <v>20</v>
      </c>
      <c r="E398" s="2" t="s">
        <v>823</v>
      </c>
      <c r="F398" s="2" t="s">
        <v>824</v>
      </c>
      <c r="G398" s="2" t="s">
        <v>825</v>
      </c>
      <c r="H398" s="2"/>
      <c r="I398" s="4"/>
      <c r="J398" s="4"/>
      <c r="K398" s="4"/>
    </row>
    <row r="399" customFormat="false" ht="35.05" hidden="false" customHeight="false" outlineLevel="0" collapsed="false">
      <c r="A399" s="2" t="s">
        <v>821</v>
      </c>
      <c r="B399" s="2" t="s">
        <v>822</v>
      </c>
      <c r="C399" s="2" t="n">
        <v>2022</v>
      </c>
      <c r="D399" s="2" t="s">
        <v>24</v>
      </c>
      <c r="E399" s="2" t="s">
        <v>281</v>
      </c>
      <c r="F399" s="2"/>
      <c r="G399" s="2" t="s">
        <v>826</v>
      </c>
      <c r="H399" s="2"/>
      <c r="I399" s="4"/>
      <c r="J399" s="4"/>
      <c r="K399" s="4"/>
    </row>
    <row r="400" customFormat="false" ht="35.05" hidden="false" customHeight="false" outlineLevel="0" collapsed="false">
      <c r="A400" s="2" t="s">
        <v>821</v>
      </c>
      <c r="B400" s="2" t="s">
        <v>822</v>
      </c>
      <c r="C400" s="2" t="n">
        <v>2022</v>
      </c>
      <c r="D400" s="2" t="s">
        <v>27</v>
      </c>
      <c r="E400" s="2" t="s">
        <v>827</v>
      </c>
      <c r="F400" s="2" t="s">
        <v>828</v>
      </c>
      <c r="G400" s="2" t="s">
        <v>829</v>
      </c>
      <c r="H400" s="2"/>
      <c r="I400" s="4"/>
      <c r="J400" s="4"/>
      <c r="K400" s="4"/>
    </row>
    <row r="401" customFormat="false" ht="46.25" hidden="false" customHeight="false" outlineLevel="0" collapsed="false">
      <c r="A401" s="2" t="s">
        <v>821</v>
      </c>
      <c r="B401" s="2" t="s">
        <v>822</v>
      </c>
      <c r="C401" s="2" t="n">
        <v>2022</v>
      </c>
      <c r="D401" s="2" t="s">
        <v>31</v>
      </c>
      <c r="E401" s="2" t="s">
        <v>830</v>
      </c>
      <c r="F401" s="2" t="s">
        <v>831</v>
      </c>
      <c r="G401" s="2" t="s">
        <v>832</v>
      </c>
      <c r="H401" s="2"/>
      <c r="I401" s="4"/>
      <c r="J401" s="4"/>
      <c r="K401" s="4"/>
    </row>
    <row r="402" customFormat="false" ht="35.05" hidden="false" customHeight="false" outlineLevel="0" collapsed="false">
      <c r="A402" s="2" t="s">
        <v>821</v>
      </c>
      <c r="B402" s="2" t="s">
        <v>822</v>
      </c>
      <c r="C402" s="2" t="n">
        <v>2022</v>
      </c>
      <c r="D402" s="2" t="s">
        <v>33</v>
      </c>
      <c r="E402" s="2" t="s">
        <v>86</v>
      </c>
      <c r="F402" s="2" t="s">
        <v>833</v>
      </c>
      <c r="G402" s="2" t="s">
        <v>834</v>
      </c>
      <c r="H402" s="2"/>
      <c r="I402" s="4"/>
      <c r="J402" s="4"/>
      <c r="K402" s="4"/>
    </row>
    <row r="403" customFormat="false" ht="15" hidden="false" customHeight="false" outlineLevel="0" collapsed="false">
      <c r="A403" s="2" t="s">
        <v>821</v>
      </c>
      <c r="B403" s="2" t="s">
        <v>822</v>
      </c>
      <c r="C403" s="2" t="n">
        <v>2022</v>
      </c>
      <c r="D403" s="2" t="s">
        <v>37</v>
      </c>
      <c r="E403" s="2" t="s">
        <v>38</v>
      </c>
      <c r="F403" s="2"/>
      <c r="G403" s="2"/>
      <c r="H403" s="2"/>
      <c r="I403" s="4"/>
      <c r="J403" s="4"/>
      <c r="K403" s="4"/>
    </row>
    <row r="404" customFormat="false" ht="102.2" hidden="false" customHeight="false" outlineLevel="0" collapsed="false">
      <c r="A404" s="2" t="s">
        <v>821</v>
      </c>
      <c r="B404" s="2" t="s">
        <v>822</v>
      </c>
      <c r="C404" s="2" t="n">
        <v>2022</v>
      </c>
      <c r="D404" s="2" t="s">
        <v>39</v>
      </c>
      <c r="E404" s="2" t="s">
        <v>835</v>
      </c>
      <c r="F404" s="2"/>
      <c r="G404" s="2" t="s">
        <v>836</v>
      </c>
      <c r="H404" s="2"/>
      <c r="I404" s="4"/>
      <c r="J404" s="4"/>
      <c r="K404" s="4"/>
    </row>
    <row r="405" customFormat="false" ht="35.05" hidden="false" customHeight="false" outlineLevel="0" collapsed="false">
      <c r="A405" s="2" t="s">
        <v>821</v>
      </c>
      <c r="B405" s="2" t="s">
        <v>822</v>
      </c>
      <c r="C405" s="2" t="n">
        <v>2022</v>
      </c>
      <c r="D405" s="2" t="s">
        <v>57</v>
      </c>
      <c r="E405" s="2" t="s">
        <v>58</v>
      </c>
      <c r="F405" s="2" t="s">
        <v>831</v>
      </c>
      <c r="G405" s="2" t="s">
        <v>832</v>
      </c>
      <c r="H405" s="2"/>
      <c r="I405" s="4"/>
      <c r="J405" s="4"/>
      <c r="K405" s="4"/>
    </row>
    <row r="406" customFormat="false" ht="35.05" hidden="false" customHeight="false" outlineLevel="0" collapsed="false">
      <c r="A406" s="2" t="s">
        <v>837</v>
      </c>
      <c r="B406" s="2" t="s">
        <v>838</v>
      </c>
      <c r="C406" s="2" t="n">
        <v>2022</v>
      </c>
      <c r="D406" s="2" t="s">
        <v>20</v>
      </c>
      <c r="E406" s="2" t="s">
        <v>839</v>
      </c>
      <c r="F406" s="2" t="s">
        <v>840</v>
      </c>
      <c r="G406" s="2" t="s">
        <v>841</v>
      </c>
      <c r="H406" s="2"/>
      <c r="I406" s="4"/>
      <c r="J406" s="4"/>
      <c r="K406" s="4"/>
    </row>
    <row r="407" customFormat="false" ht="23.85" hidden="false" customHeight="false" outlineLevel="0" collapsed="false">
      <c r="A407" s="2" t="s">
        <v>837</v>
      </c>
      <c r="B407" s="2" t="s">
        <v>838</v>
      </c>
      <c r="C407" s="2" t="n">
        <v>2022</v>
      </c>
      <c r="D407" s="2" t="s">
        <v>24</v>
      </c>
      <c r="E407" s="2" t="s">
        <v>379</v>
      </c>
      <c r="F407" s="2"/>
      <c r="G407" s="2" t="s">
        <v>842</v>
      </c>
      <c r="H407" s="2"/>
      <c r="I407" s="4"/>
      <c r="J407" s="4"/>
      <c r="K407" s="4"/>
    </row>
    <row r="408" customFormat="false" ht="35.05" hidden="false" customHeight="false" outlineLevel="0" collapsed="false">
      <c r="A408" s="2" t="s">
        <v>837</v>
      </c>
      <c r="B408" s="2" t="s">
        <v>838</v>
      </c>
      <c r="C408" s="2" t="n">
        <v>2022</v>
      </c>
      <c r="D408" s="2" t="s">
        <v>27</v>
      </c>
      <c r="E408" s="2" t="s">
        <v>28</v>
      </c>
      <c r="F408" s="2" t="s">
        <v>843</v>
      </c>
      <c r="G408" s="2" t="s">
        <v>844</v>
      </c>
      <c r="H408" s="2"/>
      <c r="I408" s="4"/>
      <c r="J408" s="4"/>
      <c r="K408" s="4"/>
    </row>
    <row r="409" customFormat="false" ht="23.85" hidden="false" customHeight="false" outlineLevel="0" collapsed="false">
      <c r="A409" s="2" t="s">
        <v>837</v>
      </c>
      <c r="B409" s="2" t="s">
        <v>838</v>
      </c>
      <c r="C409" s="2" t="n">
        <v>2022</v>
      </c>
      <c r="D409" s="2" t="s">
        <v>31</v>
      </c>
      <c r="E409" s="2" t="s">
        <v>95</v>
      </c>
      <c r="F409" s="2" t="s">
        <v>845</v>
      </c>
      <c r="G409" s="2" t="s">
        <v>846</v>
      </c>
      <c r="H409" s="2"/>
      <c r="I409" s="4"/>
      <c r="J409" s="4"/>
      <c r="K409" s="4"/>
    </row>
    <row r="410" customFormat="false" ht="46.25" hidden="false" customHeight="false" outlineLevel="0" collapsed="false">
      <c r="A410" s="2" t="s">
        <v>837</v>
      </c>
      <c r="B410" s="2" t="s">
        <v>838</v>
      </c>
      <c r="C410" s="2" t="n">
        <v>2022</v>
      </c>
      <c r="D410" s="2" t="s">
        <v>33</v>
      </c>
      <c r="E410" s="2" t="s">
        <v>303</v>
      </c>
      <c r="F410" s="2" t="s">
        <v>847</v>
      </c>
      <c r="G410" s="2" t="s">
        <v>848</v>
      </c>
      <c r="H410" s="2"/>
      <c r="I410" s="4"/>
      <c r="J410" s="4"/>
      <c r="K410" s="4"/>
    </row>
    <row r="411" customFormat="false" ht="57.45" hidden="false" customHeight="false" outlineLevel="0" collapsed="false">
      <c r="A411" s="2" t="s">
        <v>837</v>
      </c>
      <c r="B411" s="2" t="s">
        <v>838</v>
      </c>
      <c r="C411" s="2" t="n">
        <v>2022</v>
      </c>
      <c r="D411" s="2" t="s">
        <v>37</v>
      </c>
      <c r="E411" s="2" t="s">
        <v>849</v>
      </c>
      <c r="F411" s="2"/>
      <c r="G411" s="2" t="s">
        <v>850</v>
      </c>
      <c r="H411" s="2"/>
      <c r="I411" s="4"/>
      <c r="J411" s="4"/>
      <c r="K411" s="4"/>
    </row>
    <row r="412" customFormat="false" ht="35.05" hidden="false" customHeight="false" outlineLevel="0" collapsed="false">
      <c r="A412" s="2" t="s">
        <v>837</v>
      </c>
      <c r="B412" s="2" t="s">
        <v>838</v>
      </c>
      <c r="C412" s="2" t="n">
        <v>2022</v>
      </c>
      <c r="D412" s="2" t="s">
        <v>39</v>
      </c>
      <c r="E412" s="2" t="s">
        <v>851</v>
      </c>
      <c r="F412" s="2"/>
      <c r="G412" s="2" t="s">
        <v>852</v>
      </c>
      <c r="H412" s="2"/>
      <c r="I412" s="4"/>
      <c r="J412" s="4"/>
      <c r="K412" s="4"/>
    </row>
    <row r="413" customFormat="false" ht="15" hidden="false" customHeight="false" outlineLevel="0" collapsed="false">
      <c r="A413" s="2" t="s">
        <v>853</v>
      </c>
      <c r="B413" s="2" t="s">
        <v>854</v>
      </c>
      <c r="C413" s="2" t="n">
        <v>2022</v>
      </c>
      <c r="D413" s="2" t="s">
        <v>20</v>
      </c>
      <c r="E413" s="2" t="s">
        <v>49</v>
      </c>
      <c r="F413" s="2"/>
      <c r="G413" s="2"/>
      <c r="H413" s="2"/>
      <c r="I413" s="4"/>
      <c r="J413" s="4"/>
      <c r="K413" s="4"/>
    </row>
    <row r="414" customFormat="false" ht="91" hidden="false" customHeight="false" outlineLevel="0" collapsed="false">
      <c r="A414" s="2" t="s">
        <v>853</v>
      </c>
      <c r="B414" s="2" t="s">
        <v>854</v>
      </c>
      <c r="C414" s="2" t="n">
        <v>2022</v>
      </c>
      <c r="D414" s="2" t="s">
        <v>24</v>
      </c>
      <c r="E414" s="2" t="s">
        <v>130</v>
      </c>
      <c r="F414" s="2"/>
      <c r="G414" s="2" t="s">
        <v>855</v>
      </c>
      <c r="H414" s="2"/>
      <c r="I414" s="4"/>
      <c r="J414" s="4"/>
      <c r="K414" s="4"/>
    </row>
    <row r="415" customFormat="false" ht="23.85" hidden="false" customHeight="false" outlineLevel="0" collapsed="false">
      <c r="A415" s="2" t="s">
        <v>853</v>
      </c>
      <c r="B415" s="2" t="s">
        <v>854</v>
      </c>
      <c r="C415" s="2" t="n">
        <v>2022</v>
      </c>
      <c r="D415" s="2" t="s">
        <v>27</v>
      </c>
      <c r="E415" s="2" t="s">
        <v>856</v>
      </c>
      <c r="F415" s="2" t="s">
        <v>857</v>
      </c>
      <c r="G415" s="2" t="s">
        <v>858</v>
      </c>
      <c r="H415" s="2"/>
      <c r="I415" s="4"/>
      <c r="J415" s="4"/>
      <c r="K415" s="4"/>
    </row>
    <row r="416" customFormat="false" ht="57.45" hidden="false" customHeight="false" outlineLevel="0" collapsed="false">
      <c r="A416" s="2" t="s">
        <v>853</v>
      </c>
      <c r="B416" s="2" t="s">
        <v>854</v>
      </c>
      <c r="C416" s="2" t="n">
        <v>2022</v>
      </c>
      <c r="D416" s="2" t="s">
        <v>31</v>
      </c>
      <c r="E416" s="2" t="s">
        <v>859</v>
      </c>
      <c r="F416" s="2" t="s">
        <v>860</v>
      </c>
      <c r="G416" s="2" t="s">
        <v>861</v>
      </c>
      <c r="H416" s="2"/>
      <c r="I416" s="4"/>
      <c r="J416" s="4"/>
      <c r="K416" s="4"/>
    </row>
    <row r="417" customFormat="false" ht="23.85" hidden="false" customHeight="false" outlineLevel="0" collapsed="false">
      <c r="A417" s="2" t="s">
        <v>853</v>
      </c>
      <c r="B417" s="2" t="s">
        <v>854</v>
      </c>
      <c r="C417" s="2" t="n">
        <v>2022</v>
      </c>
      <c r="D417" s="2" t="s">
        <v>33</v>
      </c>
      <c r="E417" s="2" t="s">
        <v>66</v>
      </c>
      <c r="F417" s="2" t="s">
        <v>862</v>
      </c>
      <c r="G417" s="2" t="s">
        <v>858</v>
      </c>
      <c r="H417" s="2"/>
      <c r="I417" s="4"/>
      <c r="J417" s="4"/>
      <c r="K417" s="4"/>
    </row>
    <row r="418" customFormat="false" ht="15" hidden="false" customHeight="false" outlineLevel="0" collapsed="false">
      <c r="A418" s="2" t="s">
        <v>853</v>
      </c>
      <c r="B418" s="2" t="s">
        <v>854</v>
      </c>
      <c r="C418" s="2" t="n">
        <v>2022</v>
      </c>
      <c r="D418" s="2" t="s">
        <v>37</v>
      </c>
      <c r="E418" s="2" t="s">
        <v>38</v>
      </c>
      <c r="F418" s="2"/>
      <c r="G418" s="2"/>
      <c r="H418" s="2"/>
      <c r="I418" s="4"/>
      <c r="J418" s="4"/>
      <c r="K418" s="4"/>
    </row>
    <row r="419" customFormat="false" ht="79.85" hidden="false" customHeight="false" outlineLevel="0" collapsed="false">
      <c r="A419" s="2" t="s">
        <v>853</v>
      </c>
      <c r="B419" s="2" t="s">
        <v>854</v>
      </c>
      <c r="C419" s="2" t="n">
        <v>2022</v>
      </c>
      <c r="D419" s="2" t="s">
        <v>39</v>
      </c>
      <c r="E419" s="2" t="s">
        <v>863</v>
      </c>
      <c r="F419" s="2"/>
      <c r="G419" s="2" t="s">
        <v>864</v>
      </c>
      <c r="H419" s="2"/>
      <c r="I419" s="4"/>
      <c r="J419" s="4"/>
      <c r="K419" s="4"/>
    </row>
    <row r="420" customFormat="false" ht="57.45" hidden="false" customHeight="false" outlineLevel="0" collapsed="false">
      <c r="A420" s="2" t="s">
        <v>853</v>
      </c>
      <c r="B420" s="2" t="s">
        <v>854</v>
      </c>
      <c r="C420" s="2" t="n">
        <v>2022</v>
      </c>
      <c r="D420" s="2" t="s">
        <v>57</v>
      </c>
      <c r="E420" s="2" t="s">
        <v>58</v>
      </c>
      <c r="F420" s="2" t="s">
        <v>860</v>
      </c>
      <c r="G420" s="2" t="s">
        <v>861</v>
      </c>
      <c r="H420" s="2"/>
      <c r="I420" s="4"/>
      <c r="J420" s="4"/>
      <c r="K420" s="4"/>
    </row>
    <row r="421" customFormat="false" ht="68.65" hidden="false" customHeight="false" outlineLevel="0" collapsed="false">
      <c r="A421" s="2" t="s">
        <v>865</v>
      </c>
      <c r="B421" s="2" t="s">
        <v>866</v>
      </c>
      <c r="C421" s="2" t="n">
        <v>2022</v>
      </c>
      <c r="D421" s="2" t="s">
        <v>20</v>
      </c>
      <c r="E421" s="2" t="s">
        <v>867</v>
      </c>
      <c r="F421" s="2" t="s">
        <v>868</v>
      </c>
      <c r="G421" s="2" t="s">
        <v>869</v>
      </c>
      <c r="H421" s="2"/>
      <c r="I421" s="4"/>
      <c r="J421" s="4"/>
      <c r="K421" s="4"/>
    </row>
    <row r="422" customFormat="false" ht="57.45" hidden="false" customHeight="false" outlineLevel="0" collapsed="false">
      <c r="A422" s="2" t="s">
        <v>865</v>
      </c>
      <c r="B422" s="2" t="s">
        <v>866</v>
      </c>
      <c r="C422" s="2" t="n">
        <v>2022</v>
      </c>
      <c r="D422" s="2" t="s">
        <v>24</v>
      </c>
      <c r="E422" s="2" t="s">
        <v>483</v>
      </c>
      <c r="F422" s="2"/>
      <c r="G422" s="2" t="s">
        <v>870</v>
      </c>
      <c r="H422" s="2"/>
      <c r="I422" s="4"/>
      <c r="J422" s="4"/>
      <c r="K422" s="4"/>
    </row>
    <row r="423" customFormat="false" ht="35.05" hidden="false" customHeight="false" outlineLevel="0" collapsed="false">
      <c r="A423" s="2" t="s">
        <v>865</v>
      </c>
      <c r="B423" s="2" t="s">
        <v>866</v>
      </c>
      <c r="C423" s="2" t="n">
        <v>2022</v>
      </c>
      <c r="D423" s="2" t="s">
        <v>27</v>
      </c>
      <c r="E423" s="2" t="s">
        <v>501</v>
      </c>
      <c r="F423" s="2" t="s">
        <v>871</v>
      </c>
      <c r="G423" s="2" t="s">
        <v>872</v>
      </c>
      <c r="H423" s="2"/>
      <c r="I423" s="4"/>
      <c r="J423" s="4"/>
      <c r="K423" s="4"/>
    </row>
    <row r="424" customFormat="false" ht="57.45" hidden="false" customHeight="false" outlineLevel="0" collapsed="false">
      <c r="A424" s="2" t="s">
        <v>865</v>
      </c>
      <c r="B424" s="2" t="s">
        <v>866</v>
      </c>
      <c r="C424" s="2" t="n">
        <v>2022</v>
      </c>
      <c r="D424" s="2" t="s">
        <v>31</v>
      </c>
      <c r="E424" s="2" t="s">
        <v>873</v>
      </c>
      <c r="F424" s="2" t="s">
        <v>874</v>
      </c>
      <c r="G424" s="2" t="s">
        <v>875</v>
      </c>
      <c r="H424" s="2"/>
      <c r="I424" s="4"/>
      <c r="J424" s="4"/>
      <c r="K424" s="4"/>
    </row>
    <row r="425" customFormat="false" ht="46.25" hidden="false" customHeight="false" outlineLevel="0" collapsed="false">
      <c r="A425" s="2" t="s">
        <v>865</v>
      </c>
      <c r="B425" s="2" t="s">
        <v>866</v>
      </c>
      <c r="C425" s="2" t="n">
        <v>2022</v>
      </c>
      <c r="D425" s="2" t="s">
        <v>33</v>
      </c>
      <c r="E425" s="2" t="s">
        <v>217</v>
      </c>
      <c r="F425" s="2" t="s">
        <v>876</v>
      </c>
      <c r="G425" s="2" t="s">
        <v>877</v>
      </c>
      <c r="H425" s="2"/>
      <c r="I425" s="4"/>
      <c r="J425" s="4"/>
      <c r="K425" s="4"/>
    </row>
    <row r="426" customFormat="false" ht="23.85" hidden="false" customHeight="false" outlineLevel="0" collapsed="false">
      <c r="A426" s="2" t="s">
        <v>865</v>
      </c>
      <c r="B426" s="2" t="s">
        <v>866</v>
      </c>
      <c r="C426" s="2" t="n">
        <v>2022</v>
      </c>
      <c r="D426" s="2" t="s">
        <v>37</v>
      </c>
      <c r="E426" s="2" t="s">
        <v>878</v>
      </c>
      <c r="F426" s="2"/>
      <c r="G426" s="2" t="s">
        <v>879</v>
      </c>
      <c r="H426" s="2"/>
      <c r="I426" s="4"/>
      <c r="J426" s="4"/>
      <c r="K426" s="4"/>
    </row>
    <row r="427" customFormat="false" ht="57.45" hidden="false" customHeight="false" outlineLevel="0" collapsed="false">
      <c r="A427" s="2" t="s">
        <v>865</v>
      </c>
      <c r="B427" s="2" t="s">
        <v>866</v>
      </c>
      <c r="C427" s="2" t="n">
        <v>2022</v>
      </c>
      <c r="D427" s="2" t="s">
        <v>39</v>
      </c>
      <c r="E427" s="2" t="s">
        <v>880</v>
      </c>
      <c r="F427" s="2"/>
      <c r="G427" s="2" t="s">
        <v>881</v>
      </c>
      <c r="H427" s="2"/>
      <c r="I427" s="4"/>
      <c r="J427" s="4"/>
      <c r="K427" s="4"/>
    </row>
    <row r="428" customFormat="false" ht="35.05" hidden="false" customHeight="false" outlineLevel="0" collapsed="false">
      <c r="A428" s="2" t="s">
        <v>882</v>
      </c>
      <c r="B428" s="2" t="s">
        <v>883</v>
      </c>
      <c r="C428" s="2" t="n">
        <v>2023</v>
      </c>
      <c r="D428" s="2" t="s">
        <v>20</v>
      </c>
      <c r="E428" s="2" t="s">
        <v>61</v>
      </c>
      <c r="F428" s="2" t="s">
        <v>884</v>
      </c>
      <c r="G428" s="2" t="s">
        <v>885</v>
      </c>
      <c r="H428" s="2" t="s">
        <v>47</v>
      </c>
      <c r="I428" s="4"/>
      <c r="J428" s="4"/>
      <c r="K428" s="4"/>
    </row>
    <row r="429" customFormat="false" ht="23.85" hidden="false" customHeight="false" outlineLevel="0" collapsed="false">
      <c r="A429" s="2" t="s">
        <v>882</v>
      </c>
      <c r="B429" s="2" t="s">
        <v>883</v>
      </c>
      <c r="C429" s="2" t="n">
        <v>2023</v>
      </c>
      <c r="D429" s="2" t="s">
        <v>24</v>
      </c>
      <c r="E429" s="2" t="s">
        <v>189</v>
      </c>
      <c r="F429" s="2"/>
      <c r="G429" s="2" t="s">
        <v>886</v>
      </c>
      <c r="H429" s="2" t="s">
        <v>47</v>
      </c>
      <c r="I429" s="4"/>
      <c r="J429" s="4"/>
      <c r="K429" s="4"/>
    </row>
    <row r="430" customFormat="false" ht="35.05" hidden="false" customHeight="false" outlineLevel="0" collapsed="false">
      <c r="A430" s="2" t="s">
        <v>882</v>
      </c>
      <c r="B430" s="2" t="s">
        <v>883</v>
      </c>
      <c r="C430" s="2" t="n">
        <v>2023</v>
      </c>
      <c r="D430" s="2" t="s">
        <v>27</v>
      </c>
      <c r="E430" s="2" t="s">
        <v>66</v>
      </c>
      <c r="F430" s="2" t="s">
        <v>887</v>
      </c>
      <c r="G430" s="2" t="s">
        <v>888</v>
      </c>
      <c r="H430" s="2" t="s">
        <v>47</v>
      </c>
      <c r="I430" s="4"/>
      <c r="J430" s="4"/>
      <c r="K430" s="4"/>
    </row>
    <row r="431" customFormat="false" ht="46.25" hidden="false" customHeight="false" outlineLevel="0" collapsed="false">
      <c r="A431" s="2" t="s">
        <v>882</v>
      </c>
      <c r="B431" s="2" t="s">
        <v>883</v>
      </c>
      <c r="C431" s="2" t="n">
        <v>2023</v>
      </c>
      <c r="D431" s="2" t="s">
        <v>31</v>
      </c>
      <c r="E431" s="2" t="s">
        <v>889</v>
      </c>
      <c r="F431" s="2" t="s">
        <v>890</v>
      </c>
      <c r="G431" s="2" t="s">
        <v>891</v>
      </c>
      <c r="H431" s="2" t="s">
        <v>47</v>
      </c>
      <c r="I431" s="4"/>
      <c r="J431" s="4"/>
      <c r="K431" s="4"/>
    </row>
    <row r="432" customFormat="false" ht="35.05" hidden="false" customHeight="false" outlineLevel="0" collapsed="false">
      <c r="A432" s="2" t="s">
        <v>882</v>
      </c>
      <c r="B432" s="2" t="s">
        <v>883</v>
      </c>
      <c r="C432" s="2" t="n">
        <v>2023</v>
      </c>
      <c r="D432" s="2" t="s">
        <v>33</v>
      </c>
      <c r="E432" s="2" t="s">
        <v>892</v>
      </c>
      <c r="F432" s="2" t="s">
        <v>893</v>
      </c>
      <c r="G432" s="2" t="s">
        <v>894</v>
      </c>
      <c r="H432" s="2" t="s">
        <v>47</v>
      </c>
      <c r="I432" s="4"/>
      <c r="J432" s="4"/>
      <c r="K432" s="4"/>
    </row>
    <row r="433" customFormat="false" ht="23.85" hidden="false" customHeight="false" outlineLevel="0" collapsed="false">
      <c r="A433" s="2" t="s">
        <v>882</v>
      </c>
      <c r="B433" s="2" t="s">
        <v>883</v>
      </c>
      <c r="C433" s="2" t="n">
        <v>2023</v>
      </c>
      <c r="D433" s="2" t="s">
        <v>37</v>
      </c>
      <c r="E433" s="2" t="s">
        <v>38</v>
      </c>
      <c r="F433" s="2"/>
      <c r="G433" s="2" t="s">
        <v>895</v>
      </c>
      <c r="H433" s="2" t="s">
        <v>47</v>
      </c>
      <c r="I433" s="4"/>
      <c r="J433" s="4"/>
      <c r="K433" s="4"/>
    </row>
    <row r="434" customFormat="false" ht="91" hidden="false" customHeight="false" outlineLevel="0" collapsed="false">
      <c r="A434" s="2" t="s">
        <v>882</v>
      </c>
      <c r="B434" s="2" t="s">
        <v>883</v>
      </c>
      <c r="C434" s="2" t="n">
        <v>2023</v>
      </c>
      <c r="D434" s="2" t="s">
        <v>39</v>
      </c>
      <c r="E434" s="2" t="s">
        <v>896</v>
      </c>
      <c r="F434" s="2"/>
      <c r="G434" s="2" t="s">
        <v>897</v>
      </c>
      <c r="H434" s="2" t="s">
        <v>47</v>
      </c>
      <c r="I434" s="4"/>
      <c r="J434" s="4"/>
      <c r="K434" s="4"/>
    </row>
    <row r="435" customFormat="false" ht="35.05" hidden="false" customHeight="false" outlineLevel="0" collapsed="false">
      <c r="A435" s="2" t="s">
        <v>882</v>
      </c>
      <c r="B435" s="2" t="s">
        <v>883</v>
      </c>
      <c r="C435" s="2" t="n">
        <v>2023</v>
      </c>
      <c r="D435" s="2" t="s">
        <v>57</v>
      </c>
      <c r="E435" s="2" t="s">
        <v>58</v>
      </c>
      <c r="F435" s="2" t="s">
        <v>890</v>
      </c>
      <c r="G435" s="2" t="s">
        <v>891</v>
      </c>
      <c r="H435" s="2" t="s">
        <v>47</v>
      </c>
      <c r="I435" s="4"/>
      <c r="J435" s="4"/>
      <c r="K435" s="4"/>
    </row>
    <row r="436" customFormat="false" ht="35.05" hidden="false" customHeight="false" outlineLevel="0" collapsed="false">
      <c r="A436" s="2" t="s">
        <v>898</v>
      </c>
      <c r="B436" s="2" t="s">
        <v>899</v>
      </c>
      <c r="C436" s="2" t="n">
        <v>2023</v>
      </c>
      <c r="D436" s="2" t="s">
        <v>20</v>
      </c>
      <c r="E436" s="2" t="s">
        <v>900</v>
      </c>
      <c r="F436" s="2" t="s">
        <v>901</v>
      </c>
      <c r="G436" s="2" t="s">
        <v>902</v>
      </c>
      <c r="H436" s="2" t="s">
        <v>266</v>
      </c>
      <c r="I436" s="4"/>
      <c r="J436" s="4"/>
      <c r="K436" s="4"/>
    </row>
    <row r="437" customFormat="false" ht="35.05" hidden="false" customHeight="false" outlineLevel="0" collapsed="false">
      <c r="A437" s="2" t="s">
        <v>898</v>
      </c>
      <c r="B437" s="2" t="s">
        <v>899</v>
      </c>
      <c r="C437" s="2" t="n">
        <v>2023</v>
      </c>
      <c r="D437" s="2" t="s">
        <v>24</v>
      </c>
      <c r="E437" s="2" t="s">
        <v>189</v>
      </c>
      <c r="F437" s="2"/>
      <c r="G437" s="2" t="s">
        <v>903</v>
      </c>
      <c r="H437" s="2" t="s">
        <v>266</v>
      </c>
      <c r="I437" s="4"/>
      <c r="J437" s="4"/>
      <c r="K437" s="4"/>
    </row>
    <row r="438" customFormat="false" ht="35.05" hidden="false" customHeight="false" outlineLevel="0" collapsed="false">
      <c r="A438" s="2" t="s">
        <v>898</v>
      </c>
      <c r="B438" s="2" t="s">
        <v>899</v>
      </c>
      <c r="C438" s="2" t="n">
        <v>2023</v>
      </c>
      <c r="D438" s="2" t="s">
        <v>27</v>
      </c>
      <c r="E438" s="2" t="s">
        <v>904</v>
      </c>
      <c r="F438" s="2" t="s">
        <v>905</v>
      </c>
      <c r="G438" s="2" t="s">
        <v>906</v>
      </c>
      <c r="H438" s="2" t="s">
        <v>266</v>
      </c>
      <c r="I438" s="4"/>
      <c r="J438" s="4"/>
      <c r="K438" s="4"/>
    </row>
    <row r="439" customFormat="false" ht="35.05" hidden="false" customHeight="false" outlineLevel="0" collapsed="false">
      <c r="A439" s="2" t="s">
        <v>898</v>
      </c>
      <c r="B439" s="2" t="s">
        <v>899</v>
      </c>
      <c r="C439" s="2" t="n">
        <v>2023</v>
      </c>
      <c r="D439" s="2" t="s">
        <v>31</v>
      </c>
      <c r="E439" s="2" t="s">
        <v>907</v>
      </c>
      <c r="F439" s="2" t="s">
        <v>908</v>
      </c>
      <c r="G439" s="2" t="s">
        <v>909</v>
      </c>
      <c r="H439" s="2" t="s">
        <v>266</v>
      </c>
      <c r="I439" s="4"/>
      <c r="J439" s="4"/>
      <c r="K439" s="4"/>
    </row>
    <row r="440" customFormat="false" ht="35.05" hidden="false" customHeight="false" outlineLevel="0" collapsed="false">
      <c r="A440" s="2" t="s">
        <v>898</v>
      </c>
      <c r="B440" s="2" t="s">
        <v>899</v>
      </c>
      <c r="C440" s="2" t="n">
        <v>2023</v>
      </c>
      <c r="D440" s="2" t="s">
        <v>33</v>
      </c>
      <c r="E440" s="2" t="s">
        <v>910</v>
      </c>
      <c r="F440" s="2" t="s">
        <v>911</v>
      </c>
      <c r="G440" s="2" t="s">
        <v>912</v>
      </c>
      <c r="H440" s="2" t="s">
        <v>266</v>
      </c>
      <c r="I440" s="4"/>
      <c r="J440" s="4"/>
      <c r="K440" s="4"/>
    </row>
    <row r="441" customFormat="false" ht="23.85" hidden="false" customHeight="false" outlineLevel="0" collapsed="false">
      <c r="A441" s="2" t="s">
        <v>898</v>
      </c>
      <c r="B441" s="2" t="s">
        <v>899</v>
      </c>
      <c r="C441" s="2" t="n">
        <v>2023</v>
      </c>
      <c r="D441" s="2" t="s">
        <v>37</v>
      </c>
      <c r="E441" s="2" t="s">
        <v>913</v>
      </c>
      <c r="F441" s="2"/>
      <c r="G441" s="2" t="s">
        <v>914</v>
      </c>
      <c r="H441" s="2" t="s">
        <v>266</v>
      </c>
      <c r="I441" s="4"/>
      <c r="J441" s="4"/>
      <c r="K441" s="4"/>
    </row>
    <row r="442" customFormat="false" ht="91" hidden="false" customHeight="false" outlineLevel="0" collapsed="false">
      <c r="A442" s="2" t="s">
        <v>898</v>
      </c>
      <c r="B442" s="2" t="s">
        <v>899</v>
      </c>
      <c r="C442" s="2" t="n">
        <v>2023</v>
      </c>
      <c r="D442" s="2" t="s">
        <v>39</v>
      </c>
      <c r="E442" s="2" t="s">
        <v>915</v>
      </c>
      <c r="F442" s="2"/>
      <c r="G442" s="2" t="s">
        <v>916</v>
      </c>
      <c r="H442" s="2" t="s">
        <v>266</v>
      </c>
      <c r="I442" s="4"/>
      <c r="J442" s="4"/>
      <c r="K442" s="4"/>
    </row>
    <row r="443" customFormat="false" ht="35.05" hidden="false" customHeight="false" outlineLevel="0" collapsed="false">
      <c r="A443" s="2" t="s">
        <v>898</v>
      </c>
      <c r="B443" s="2" t="s">
        <v>899</v>
      </c>
      <c r="C443" s="2" t="n">
        <v>2023</v>
      </c>
      <c r="D443" s="2" t="s">
        <v>57</v>
      </c>
      <c r="E443" s="2" t="s">
        <v>341</v>
      </c>
      <c r="F443" s="2"/>
      <c r="G443" s="2" t="s">
        <v>909</v>
      </c>
      <c r="H443" s="2" t="s">
        <v>266</v>
      </c>
      <c r="I443" s="4"/>
      <c r="J443" s="4"/>
      <c r="K443" s="4"/>
    </row>
    <row r="444" customFormat="false" ht="23.85" hidden="false" customHeight="false" outlineLevel="0" collapsed="false">
      <c r="A444" s="2" t="s">
        <v>917</v>
      </c>
      <c r="B444" s="2" t="s">
        <v>918</v>
      </c>
      <c r="C444" s="2" t="n">
        <v>2023</v>
      </c>
      <c r="D444" s="2" t="s">
        <v>20</v>
      </c>
      <c r="E444" s="2" t="s">
        <v>919</v>
      </c>
      <c r="F444" s="2" t="s">
        <v>920</v>
      </c>
      <c r="G444" s="2" t="s">
        <v>921</v>
      </c>
      <c r="H444" s="2"/>
      <c r="I444" s="4"/>
      <c r="J444" s="4"/>
      <c r="K444" s="4"/>
    </row>
    <row r="445" customFormat="false" ht="35.05" hidden="false" customHeight="false" outlineLevel="0" collapsed="false">
      <c r="A445" s="2" t="s">
        <v>917</v>
      </c>
      <c r="B445" s="2" t="s">
        <v>918</v>
      </c>
      <c r="C445" s="2" t="n">
        <v>2023</v>
      </c>
      <c r="D445" s="2" t="s">
        <v>24</v>
      </c>
      <c r="E445" s="2" t="s">
        <v>189</v>
      </c>
      <c r="F445" s="2"/>
      <c r="G445" s="2" t="s">
        <v>922</v>
      </c>
      <c r="H445" s="2"/>
      <c r="I445" s="4"/>
      <c r="J445" s="4"/>
      <c r="K445" s="4"/>
    </row>
    <row r="446" customFormat="false" ht="23.85" hidden="false" customHeight="false" outlineLevel="0" collapsed="false">
      <c r="A446" s="2" t="s">
        <v>917</v>
      </c>
      <c r="B446" s="2" t="s">
        <v>918</v>
      </c>
      <c r="C446" s="2" t="n">
        <v>2023</v>
      </c>
      <c r="D446" s="2" t="s">
        <v>27</v>
      </c>
      <c r="E446" s="2" t="s">
        <v>174</v>
      </c>
      <c r="F446" s="2" t="s">
        <v>923</v>
      </c>
      <c r="G446" s="2" t="s">
        <v>924</v>
      </c>
      <c r="H446" s="2"/>
      <c r="I446" s="4"/>
      <c r="J446" s="4"/>
      <c r="K446" s="4"/>
    </row>
    <row r="447" customFormat="false" ht="35.05" hidden="false" customHeight="false" outlineLevel="0" collapsed="false">
      <c r="A447" s="2" t="s">
        <v>917</v>
      </c>
      <c r="B447" s="2" t="s">
        <v>918</v>
      </c>
      <c r="C447" s="2" t="n">
        <v>2023</v>
      </c>
      <c r="D447" s="2" t="s">
        <v>31</v>
      </c>
      <c r="E447" s="2" t="s">
        <v>925</v>
      </c>
      <c r="F447" s="2" t="s">
        <v>926</v>
      </c>
      <c r="G447" s="2" t="s">
        <v>927</v>
      </c>
      <c r="H447" s="2"/>
      <c r="I447" s="4"/>
      <c r="J447" s="4"/>
      <c r="K447" s="4"/>
    </row>
    <row r="448" customFormat="false" ht="35.05" hidden="false" customHeight="false" outlineLevel="0" collapsed="false">
      <c r="A448" s="2" t="s">
        <v>917</v>
      </c>
      <c r="B448" s="2" t="s">
        <v>918</v>
      </c>
      <c r="C448" s="2" t="n">
        <v>2023</v>
      </c>
      <c r="D448" s="2" t="s">
        <v>33</v>
      </c>
      <c r="E448" s="2" t="s">
        <v>928</v>
      </c>
      <c r="F448" s="2" t="s">
        <v>929</v>
      </c>
      <c r="G448" s="2" t="s">
        <v>930</v>
      </c>
      <c r="H448" s="2"/>
      <c r="I448" s="4"/>
      <c r="J448" s="4"/>
      <c r="K448" s="4"/>
    </row>
    <row r="449" customFormat="false" ht="23.85" hidden="false" customHeight="false" outlineLevel="0" collapsed="false">
      <c r="A449" s="2" t="s">
        <v>917</v>
      </c>
      <c r="B449" s="2" t="s">
        <v>918</v>
      </c>
      <c r="C449" s="2" t="n">
        <v>2023</v>
      </c>
      <c r="D449" s="2" t="s">
        <v>37</v>
      </c>
      <c r="E449" s="2" t="s">
        <v>931</v>
      </c>
      <c r="F449" s="2"/>
      <c r="G449" s="2" t="s">
        <v>932</v>
      </c>
      <c r="H449" s="2"/>
      <c r="I449" s="4"/>
      <c r="J449" s="4"/>
      <c r="K449" s="4"/>
    </row>
    <row r="450" customFormat="false" ht="124.6" hidden="false" customHeight="false" outlineLevel="0" collapsed="false">
      <c r="A450" s="2" t="s">
        <v>917</v>
      </c>
      <c r="B450" s="2" t="s">
        <v>918</v>
      </c>
      <c r="C450" s="2" t="n">
        <v>2023</v>
      </c>
      <c r="D450" s="2" t="s">
        <v>39</v>
      </c>
      <c r="E450" s="2" t="s">
        <v>933</v>
      </c>
      <c r="F450" s="2"/>
      <c r="G450" s="2" t="s">
        <v>934</v>
      </c>
      <c r="H450" s="2"/>
      <c r="I450" s="4"/>
      <c r="J450" s="4"/>
      <c r="K450" s="4"/>
    </row>
    <row r="451" customFormat="false" ht="35.05" hidden="false" customHeight="false" outlineLevel="0" collapsed="false">
      <c r="A451" s="2" t="s">
        <v>935</v>
      </c>
      <c r="B451" s="2" t="s">
        <v>936</v>
      </c>
      <c r="C451" s="2" t="n">
        <v>2024</v>
      </c>
      <c r="D451" s="2" t="s">
        <v>20</v>
      </c>
      <c r="E451" s="2" t="s">
        <v>937</v>
      </c>
      <c r="F451" s="2" t="s">
        <v>938</v>
      </c>
      <c r="G451" s="2" t="s">
        <v>939</v>
      </c>
      <c r="H451" s="2"/>
      <c r="I451" s="4"/>
      <c r="J451" s="4"/>
      <c r="K451" s="4"/>
    </row>
    <row r="452" customFormat="false" ht="35.05" hidden="false" customHeight="false" outlineLevel="0" collapsed="false">
      <c r="A452" s="2" t="s">
        <v>935</v>
      </c>
      <c r="B452" s="2" t="s">
        <v>936</v>
      </c>
      <c r="C452" s="2" t="n">
        <v>2024</v>
      </c>
      <c r="D452" s="2" t="s">
        <v>24</v>
      </c>
      <c r="E452" s="2" t="s">
        <v>189</v>
      </c>
      <c r="F452" s="2"/>
      <c r="G452" s="2" t="s">
        <v>940</v>
      </c>
      <c r="H452" s="2"/>
      <c r="I452" s="4"/>
      <c r="J452" s="4"/>
      <c r="K452" s="4"/>
    </row>
    <row r="453" customFormat="false" ht="15" hidden="false" customHeight="false" outlineLevel="0" collapsed="false">
      <c r="A453" s="2" t="s">
        <v>935</v>
      </c>
      <c r="B453" s="2" t="s">
        <v>936</v>
      </c>
      <c r="C453" s="2" t="n">
        <v>2024</v>
      </c>
      <c r="D453" s="2" t="s">
        <v>27</v>
      </c>
      <c r="E453" s="2" t="s">
        <v>49</v>
      </c>
      <c r="F453" s="2"/>
      <c r="G453" s="2"/>
      <c r="H453" s="2"/>
      <c r="I453" s="4"/>
      <c r="J453" s="4"/>
      <c r="K453" s="4"/>
    </row>
    <row r="454" customFormat="false" ht="57.45" hidden="false" customHeight="false" outlineLevel="0" collapsed="false">
      <c r="A454" s="2" t="s">
        <v>935</v>
      </c>
      <c r="B454" s="2" t="s">
        <v>936</v>
      </c>
      <c r="C454" s="2" t="n">
        <v>2024</v>
      </c>
      <c r="D454" s="2" t="s">
        <v>31</v>
      </c>
      <c r="E454" s="2" t="s">
        <v>941</v>
      </c>
      <c r="F454" s="2" t="s">
        <v>942</v>
      </c>
      <c r="G454" s="2" t="s">
        <v>943</v>
      </c>
      <c r="H454" s="2"/>
      <c r="I454" s="4"/>
      <c r="J454" s="4"/>
      <c r="K454" s="4"/>
    </row>
    <row r="455" customFormat="false" ht="46.25" hidden="false" customHeight="false" outlineLevel="0" collapsed="false">
      <c r="A455" s="2" t="s">
        <v>935</v>
      </c>
      <c r="B455" s="2" t="s">
        <v>936</v>
      </c>
      <c r="C455" s="2" t="n">
        <v>2024</v>
      </c>
      <c r="D455" s="2" t="s">
        <v>33</v>
      </c>
      <c r="E455" s="2" t="s">
        <v>803</v>
      </c>
      <c r="F455" s="2" t="s">
        <v>944</v>
      </c>
      <c r="G455" s="2" t="s">
        <v>945</v>
      </c>
      <c r="H455" s="2"/>
      <c r="I455" s="4"/>
      <c r="J455" s="4"/>
      <c r="K455" s="4"/>
    </row>
    <row r="456" customFormat="false" ht="23.85" hidden="false" customHeight="false" outlineLevel="0" collapsed="false">
      <c r="A456" s="2" t="s">
        <v>935</v>
      </c>
      <c r="B456" s="2" t="s">
        <v>936</v>
      </c>
      <c r="C456" s="2" t="n">
        <v>2024</v>
      </c>
      <c r="D456" s="2" t="s">
        <v>37</v>
      </c>
      <c r="E456" s="2" t="s">
        <v>38</v>
      </c>
      <c r="F456" s="2"/>
      <c r="G456" s="2" t="s">
        <v>946</v>
      </c>
      <c r="H456" s="2"/>
      <c r="I456" s="4"/>
      <c r="J456" s="4"/>
      <c r="K456" s="4"/>
    </row>
    <row r="457" customFormat="false" ht="68.65" hidden="false" customHeight="false" outlineLevel="0" collapsed="false">
      <c r="A457" s="2" t="s">
        <v>935</v>
      </c>
      <c r="B457" s="2" t="s">
        <v>936</v>
      </c>
      <c r="C457" s="2" t="n">
        <v>2024</v>
      </c>
      <c r="D457" s="2" t="s">
        <v>39</v>
      </c>
      <c r="E457" s="2" t="s">
        <v>947</v>
      </c>
      <c r="F457" s="2"/>
      <c r="G457" s="2" t="s">
        <v>948</v>
      </c>
      <c r="H457" s="2"/>
      <c r="I457" s="4"/>
      <c r="J457" s="4"/>
      <c r="K457" s="4"/>
    </row>
    <row r="458" customFormat="false" ht="35.05" hidden="false" customHeight="false" outlineLevel="0" collapsed="false">
      <c r="A458" s="2" t="s">
        <v>949</v>
      </c>
      <c r="B458" s="2" t="s">
        <v>950</v>
      </c>
      <c r="C458" s="2" t="n">
        <v>2024</v>
      </c>
      <c r="D458" s="2" t="s">
        <v>20</v>
      </c>
      <c r="E458" s="2" t="s">
        <v>391</v>
      </c>
      <c r="F458" s="2" t="s">
        <v>951</v>
      </c>
      <c r="G458" s="2" t="s">
        <v>952</v>
      </c>
      <c r="H458" s="2"/>
      <c r="I458" s="4"/>
      <c r="J458" s="4"/>
      <c r="K458" s="4"/>
    </row>
    <row r="459" customFormat="false" ht="35.05" hidden="false" customHeight="false" outlineLevel="0" collapsed="false">
      <c r="A459" s="2" t="s">
        <v>949</v>
      </c>
      <c r="B459" s="2" t="s">
        <v>950</v>
      </c>
      <c r="C459" s="2" t="n">
        <v>2024</v>
      </c>
      <c r="D459" s="2" t="s">
        <v>24</v>
      </c>
      <c r="E459" s="2" t="s">
        <v>189</v>
      </c>
      <c r="F459" s="2"/>
      <c r="G459" s="2" t="s">
        <v>953</v>
      </c>
      <c r="H459" s="2"/>
      <c r="I459" s="4"/>
      <c r="J459" s="4"/>
      <c r="K459" s="4"/>
    </row>
    <row r="460" customFormat="false" ht="35.05" hidden="false" customHeight="false" outlineLevel="0" collapsed="false">
      <c r="A460" s="2" t="s">
        <v>949</v>
      </c>
      <c r="B460" s="2" t="s">
        <v>950</v>
      </c>
      <c r="C460" s="2" t="n">
        <v>2024</v>
      </c>
      <c r="D460" s="2" t="s">
        <v>27</v>
      </c>
      <c r="E460" s="2" t="s">
        <v>594</v>
      </c>
      <c r="F460" s="2" t="s">
        <v>954</v>
      </c>
      <c r="G460" s="2" t="s">
        <v>955</v>
      </c>
      <c r="H460" s="2"/>
      <c r="I460" s="4"/>
      <c r="J460" s="4"/>
      <c r="K460" s="4"/>
    </row>
    <row r="461" customFormat="false" ht="46.25" hidden="false" customHeight="false" outlineLevel="0" collapsed="false">
      <c r="A461" s="2" t="s">
        <v>949</v>
      </c>
      <c r="B461" s="2" t="s">
        <v>950</v>
      </c>
      <c r="C461" s="2" t="n">
        <v>2024</v>
      </c>
      <c r="D461" s="2" t="s">
        <v>31</v>
      </c>
      <c r="E461" s="2" t="s">
        <v>95</v>
      </c>
      <c r="F461" s="2" t="s">
        <v>956</v>
      </c>
      <c r="G461" s="2" t="s">
        <v>957</v>
      </c>
      <c r="H461" s="2"/>
      <c r="I461" s="4"/>
      <c r="J461" s="4"/>
      <c r="K461" s="4"/>
    </row>
    <row r="462" customFormat="false" ht="35.05" hidden="false" customHeight="false" outlineLevel="0" collapsed="false">
      <c r="A462" s="2" t="s">
        <v>949</v>
      </c>
      <c r="B462" s="2" t="s">
        <v>950</v>
      </c>
      <c r="C462" s="2" t="n">
        <v>2024</v>
      </c>
      <c r="D462" s="2" t="s">
        <v>33</v>
      </c>
      <c r="E462" s="2" t="s">
        <v>958</v>
      </c>
      <c r="F462" s="2" t="s">
        <v>959</v>
      </c>
      <c r="G462" s="2" t="s">
        <v>671</v>
      </c>
      <c r="H462" s="2"/>
      <c r="I462" s="4"/>
      <c r="J462" s="4"/>
      <c r="K462" s="4"/>
    </row>
    <row r="463" customFormat="false" ht="35.05" hidden="false" customHeight="false" outlineLevel="0" collapsed="false">
      <c r="A463" s="2" t="s">
        <v>949</v>
      </c>
      <c r="B463" s="2" t="s">
        <v>950</v>
      </c>
      <c r="C463" s="2" t="n">
        <v>2024</v>
      </c>
      <c r="D463" s="2" t="s">
        <v>37</v>
      </c>
      <c r="E463" s="2" t="s">
        <v>38</v>
      </c>
      <c r="F463" s="2"/>
      <c r="G463" s="2" t="s">
        <v>960</v>
      </c>
      <c r="H463" s="2"/>
      <c r="I463" s="4"/>
      <c r="J463" s="4"/>
      <c r="K463" s="4"/>
    </row>
    <row r="464" customFormat="false" ht="68.65" hidden="false" customHeight="false" outlineLevel="0" collapsed="false">
      <c r="A464" s="2" t="s">
        <v>949</v>
      </c>
      <c r="B464" s="2" t="s">
        <v>950</v>
      </c>
      <c r="C464" s="2" t="n">
        <v>2024</v>
      </c>
      <c r="D464" s="2" t="s">
        <v>39</v>
      </c>
      <c r="E464" s="2" t="s">
        <v>961</v>
      </c>
      <c r="F464" s="2"/>
      <c r="G464" s="2" t="s">
        <v>962</v>
      </c>
      <c r="H464" s="2"/>
      <c r="I464" s="4"/>
      <c r="J464" s="4"/>
      <c r="K464" s="4"/>
    </row>
    <row r="465" customFormat="false" ht="46.25" hidden="false" customHeight="false" outlineLevel="0" collapsed="false">
      <c r="A465" s="2" t="s">
        <v>949</v>
      </c>
      <c r="B465" s="2" t="s">
        <v>950</v>
      </c>
      <c r="C465" s="2" t="n">
        <v>2024</v>
      </c>
      <c r="D465" s="2" t="s">
        <v>57</v>
      </c>
      <c r="E465" s="2" t="s">
        <v>341</v>
      </c>
      <c r="F465" s="2"/>
      <c r="G465" s="2" t="s">
        <v>957</v>
      </c>
      <c r="H465" s="2"/>
      <c r="I465" s="4"/>
      <c r="J465" s="4"/>
      <c r="K465" s="4"/>
    </row>
    <row r="466" customFormat="false" ht="15" hidden="false" customHeight="false" outlineLevel="0" collapsed="false">
      <c r="A466" s="2" t="s">
        <v>963</v>
      </c>
      <c r="B466" s="2" t="s">
        <v>964</v>
      </c>
      <c r="C466" s="2" t="n">
        <v>2024</v>
      </c>
      <c r="D466" s="2" t="s">
        <v>20</v>
      </c>
      <c r="E466" s="2" t="s">
        <v>49</v>
      </c>
      <c r="F466" s="2"/>
      <c r="G466" s="2"/>
      <c r="H466" s="2"/>
      <c r="I466" s="4"/>
      <c r="J466" s="4"/>
      <c r="K466" s="4"/>
    </row>
    <row r="467" customFormat="false" ht="35.05" hidden="false" customHeight="false" outlineLevel="0" collapsed="false">
      <c r="A467" s="2" t="s">
        <v>963</v>
      </c>
      <c r="B467" s="2" t="s">
        <v>964</v>
      </c>
      <c r="C467" s="2" t="n">
        <v>2024</v>
      </c>
      <c r="D467" s="2" t="s">
        <v>24</v>
      </c>
      <c r="E467" s="2" t="s">
        <v>93</v>
      </c>
      <c r="F467" s="2"/>
      <c r="G467" s="2" t="s">
        <v>965</v>
      </c>
      <c r="H467" s="2"/>
      <c r="I467" s="4"/>
      <c r="J467" s="4"/>
      <c r="K467" s="4"/>
    </row>
    <row r="468" customFormat="false" ht="46.25" hidden="false" customHeight="false" outlineLevel="0" collapsed="false">
      <c r="A468" s="2" t="s">
        <v>963</v>
      </c>
      <c r="B468" s="2" t="s">
        <v>964</v>
      </c>
      <c r="C468" s="2" t="n">
        <v>2024</v>
      </c>
      <c r="D468" s="2" t="s">
        <v>27</v>
      </c>
      <c r="E468" s="2" t="s">
        <v>966</v>
      </c>
      <c r="F468" s="2" t="s">
        <v>967</v>
      </c>
      <c r="G468" s="2" t="s">
        <v>968</v>
      </c>
      <c r="H468" s="2"/>
      <c r="I468" s="4"/>
      <c r="J468" s="4"/>
      <c r="K468" s="4"/>
    </row>
    <row r="469" customFormat="false" ht="57.45" hidden="false" customHeight="false" outlineLevel="0" collapsed="false">
      <c r="A469" s="2" t="s">
        <v>963</v>
      </c>
      <c r="B469" s="2" t="s">
        <v>964</v>
      </c>
      <c r="C469" s="2" t="n">
        <v>2024</v>
      </c>
      <c r="D469" s="2" t="s">
        <v>31</v>
      </c>
      <c r="E469" s="2" t="s">
        <v>969</v>
      </c>
      <c r="F469" s="2" t="s">
        <v>970</v>
      </c>
      <c r="G469" s="2" t="s">
        <v>971</v>
      </c>
      <c r="H469" s="2"/>
      <c r="I469" s="4"/>
      <c r="J469" s="4"/>
      <c r="K469" s="4"/>
    </row>
    <row r="470" customFormat="false" ht="46.25" hidden="false" customHeight="false" outlineLevel="0" collapsed="false">
      <c r="A470" s="2" t="s">
        <v>963</v>
      </c>
      <c r="B470" s="2" t="s">
        <v>964</v>
      </c>
      <c r="C470" s="2" t="n">
        <v>2024</v>
      </c>
      <c r="D470" s="2" t="s">
        <v>33</v>
      </c>
      <c r="E470" s="2" t="s">
        <v>972</v>
      </c>
      <c r="F470" s="2" t="s">
        <v>973</v>
      </c>
      <c r="G470" s="2" t="s">
        <v>974</v>
      </c>
      <c r="H470" s="2"/>
      <c r="I470" s="4"/>
      <c r="J470" s="4"/>
      <c r="K470" s="4"/>
    </row>
    <row r="471" customFormat="false" ht="46.25" hidden="false" customHeight="false" outlineLevel="0" collapsed="false">
      <c r="A471" s="2" t="s">
        <v>963</v>
      </c>
      <c r="B471" s="2" t="s">
        <v>964</v>
      </c>
      <c r="C471" s="2" t="n">
        <v>2024</v>
      </c>
      <c r="D471" s="2" t="s">
        <v>37</v>
      </c>
      <c r="E471" s="2" t="s">
        <v>975</v>
      </c>
      <c r="F471" s="2"/>
      <c r="G471" s="2" t="s">
        <v>976</v>
      </c>
      <c r="H471" s="2"/>
      <c r="I471" s="4"/>
      <c r="J471" s="4"/>
      <c r="K471" s="4"/>
    </row>
    <row r="472" customFormat="false" ht="15" hidden="false" customHeight="false" outlineLevel="0" collapsed="false">
      <c r="A472" s="2" t="s">
        <v>963</v>
      </c>
      <c r="B472" s="2" t="s">
        <v>964</v>
      </c>
      <c r="C472" s="2" t="n">
        <v>2024</v>
      </c>
      <c r="D472" s="2" t="s">
        <v>39</v>
      </c>
      <c r="E472" s="2" t="s">
        <v>38</v>
      </c>
      <c r="F472" s="2"/>
      <c r="G472" s="2"/>
      <c r="H472" s="2"/>
      <c r="I472" s="4"/>
      <c r="J472" s="4"/>
      <c r="K472" s="4"/>
    </row>
    <row r="473" customFormat="false" ht="57.45" hidden="false" customHeight="false" outlineLevel="0" collapsed="false">
      <c r="A473" s="2" t="s">
        <v>963</v>
      </c>
      <c r="B473" s="2" t="s">
        <v>964</v>
      </c>
      <c r="C473" s="2" t="n">
        <v>2024</v>
      </c>
      <c r="D473" s="2" t="s">
        <v>57</v>
      </c>
      <c r="E473" s="2" t="s">
        <v>58</v>
      </c>
      <c r="F473" s="2" t="s">
        <v>970</v>
      </c>
      <c r="G473" s="2" t="s">
        <v>971</v>
      </c>
      <c r="H473" s="2"/>
      <c r="I473" s="4"/>
      <c r="J473" s="4"/>
      <c r="K473" s="4"/>
    </row>
    <row r="474" customFormat="false" ht="46.25" hidden="false" customHeight="false" outlineLevel="0" collapsed="false">
      <c r="A474" s="2" t="s">
        <v>977</v>
      </c>
      <c r="B474" s="2" t="s">
        <v>978</v>
      </c>
      <c r="C474" s="2" t="n">
        <v>2025</v>
      </c>
      <c r="D474" s="2" t="s">
        <v>20</v>
      </c>
      <c r="E474" s="2" t="s">
        <v>979</v>
      </c>
      <c r="F474" s="2" t="s">
        <v>980</v>
      </c>
      <c r="G474" s="2" t="s">
        <v>981</v>
      </c>
      <c r="H474" s="2" t="s">
        <v>47</v>
      </c>
      <c r="I474" s="4"/>
      <c r="J474" s="4"/>
      <c r="K474" s="4"/>
    </row>
    <row r="475" customFormat="false" ht="23.85" hidden="false" customHeight="false" outlineLevel="0" collapsed="false">
      <c r="A475" s="2" t="s">
        <v>977</v>
      </c>
      <c r="B475" s="2" t="s">
        <v>978</v>
      </c>
      <c r="C475" s="2" t="n">
        <v>2025</v>
      </c>
      <c r="D475" s="2" t="s">
        <v>24</v>
      </c>
      <c r="E475" s="2" t="s">
        <v>432</v>
      </c>
      <c r="F475" s="2"/>
      <c r="G475" s="2" t="s">
        <v>982</v>
      </c>
      <c r="H475" s="2" t="s">
        <v>47</v>
      </c>
      <c r="I475" s="4"/>
      <c r="J475" s="4"/>
      <c r="K475" s="4"/>
    </row>
    <row r="476" customFormat="false" ht="46.25" hidden="false" customHeight="false" outlineLevel="0" collapsed="false">
      <c r="A476" s="2" t="s">
        <v>977</v>
      </c>
      <c r="B476" s="2" t="s">
        <v>978</v>
      </c>
      <c r="C476" s="2" t="n">
        <v>2025</v>
      </c>
      <c r="D476" s="2" t="s">
        <v>27</v>
      </c>
      <c r="E476" s="2" t="s">
        <v>594</v>
      </c>
      <c r="F476" s="2" t="s">
        <v>983</v>
      </c>
      <c r="G476" s="2" t="s">
        <v>984</v>
      </c>
      <c r="H476" s="2" t="s">
        <v>47</v>
      </c>
      <c r="I476" s="4"/>
      <c r="J476" s="4"/>
      <c r="K476" s="4"/>
    </row>
    <row r="477" customFormat="false" ht="35.05" hidden="false" customHeight="false" outlineLevel="0" collapsed="false">
      <c r="A477" s="2" t="s">
        <v>977</v>
      </c>
      <c r="B477" s="2" t="s">
        <v>978</v>
      </c>
      <c r="C477" s="2" t="n">
        <v>2025</v>
      </c>
      <c r="D477" s="2" t="s">
        <v>31</v>
      </c>
      <c r="E477" s="2" t="s">
        <v>985</v>
      </c>
      <c r="F477" s="2" t="s">
        <v>986</v>
      </c>
      <c r="G477" s="2" t="s">
        <v>987</v>
      </c>
      <c r="H477" s="2" t="s">
        <v>47</v>
      </c>
      <c r="I477" s="4"/>
      <c r="J477" s="4"/>
      <c r="K477" s="4"/>
    </row>
    <row r="478" customFormat="false" ht="35.05" hidden="false" customHeight="false" outlineLevel="0" collapsed="false">
      <c r="A478" s="2" t="s">
        <v>977</v>
      </c>
      <c r="B478" s="2" t="s">
        <v>978</v>
      </c>
      <c r="C478" s="2" t="n">
        <v>2025</v>
      </c>
      <c r="D478" s="2" t="s">
        <v>33</v>
      </c>
      <c r="E478" s="2" t="s">
        <v>988</v>
      </c>
      <c r="F478" s="2" t="s">
        <v>989</v>
      </c>
      <c r="G478" s="2" t="s">
        <v>990</v>
      </c>
      <c r="H478" s="2" t="s">
        <v>47</v>
      </c>
      <c r="I478" s="4"/>
      <c r="J478" s="4"/>
      <c r="K478" s="4"/>
    </row>
    <row r="479" customFormat="false" ht="46.25" hidden="false" customHeight="false" outlineLevel="0" collapsed="false">
      <c r="A479" s="2" t="s">
        <v>977</v>
      </c>
      <c r="B479" s="2" t="s">
        <v>978</v>
      </c>
      <c r="C479" s="2" t="n">
        <v>2025</v>
      </c>
      <c r="D479" s="2" t="s">
        <v>37</v>
      </c>
      <c r="E479" s="2" t="s">
        <v>491</v>
      </c>
      <c r="F479" s="2"/>
      <c r="G479" s="2" t="s">
        <v>991</v>
      </c>
      <c r="H479" s="2" t="s">
        <v>47</v>
      </c>
      <c r="I479" s="4"/>
      <c r="J479" s="4"/>
      <c r="K479" s="4"/>
    </row>
    <row r="480" customFormat="false" ht="124.6" hidden="false" customHeight="false" outlineLevel="0" collapsed="false">
      <c r="A480" s="2" t="s">
        <v>977</v>
      </c>
      <c r="B480" s="2" t="s">
        <v>978</v>
      </c>
      <c r="C480" s="2" t="n">
        <v>2025</v>
      </c>
      <c r="D480" s="2" t="s">
        <v>39</v>
      </c>
      <c r="E480" s="2" t="s">
        <v>992</v>
      </c>
      <c r="F480" s="2"/>
      <c r="G480" s="2" t="s">
        <v>993</v>
      </c>
      <c r="H480" s="2" t="s">
        <v>47</v>
      </c>
      <c r="I480" s="4"/>
      <c r="J480" s="4"/>
      <c r="K480" s="4"/>
    </row>
    <row r="481" customFormat="false" ht="15" hidden="false" customHeight="false" outlineLevel="0" collapsed="false">
      <c r="A481" s="2" t="s">
        <v>994</v>
      </c>
      <c r="B481" s="2" t="s">
        <v>995</v>
      </c>
      <c r="C481" s="2" t="n">
        <v>2025</v>
      </c>
      <c r="D481" s="2" t="s">
        <v>20</v>
      </c>
      <c r="E481" s="2" t="s">
        <v>49</v>
      </c>
      <c r="F481" s="2"/>
      <c r="G481" s="2"/>
      <c r="H481" s="2" t="s">
        <v>266</v>
      </c>
      <c r="I481" s="4"/>
      <c r="J481" s="4"/>
      <c r="K481" s="4"/>
    </row>
    <row r="482" customFormat="false" ht="23.85" hidden="false" customHeight="false" outlineLevel="0" collapsed="false">
      <c r="A482" s="2" t="s">
        <v>994</v>
      </c>
      <c r="B482" s="2" t="s">
        <v>995</v>
      </c>
      <c r="C482" s="2" t="n">
        <v>2025</v>
      </c>
      <c r="D482" s="2" t="s">
        <v>24</v>
      </c>
      <c r="E482" s="2" t="s">
        <v>996</v>
      </c>
      <c r="F482" s="2"/>
      <c r="G482" s="2" t="s">
        <v>997</v>
      </c>
      <c r="H482" s="2" t="s">
        <v>266</v>
      </c>
      <c r="I482" s="4"/>
      <c r="J482" s="4"/>
      <c r="K482" s="4"/>
    </row>
    <row r="483" customFormat="false" ht="35.05" hidden="false" customHeight="false" outlineLevel="0" collapsed="false">
      <c r="A483" s="2" t="s">
        <v>994</v>
      </c>
      <c r="B483" s="2" t="s">
        <v>995</v>
      </c>
      <c r="C483" s="2" t="n">
        <v>2025</v>
      </c>
      <c r="D483" s="2" t="s">
        <v>27</v>
      </c>
      <c r="E483" s="2" t="s">
        <v>998</v>
      </c>
      <c r="F483" s="2" t="s">
        <v>999</v>
      </c>
      <c r="G483" s="2" t="s">
        <v>1000</v>
      </c>
      <c r="H483" s="2" t="s">
        <v>266</v>
      </c>
      <c r="I483" s="4"/>
      <c r="J483" s="4"/>
      <c r="K483" s="4"/>
    </row>
    <row r="484" customFormat="false" ht="23.85" hidden="false" customHeight="false" outlineLevel="0" collapsed="false">
      <c r="A484" s="2" t="s">
        <v>994</v>
      </c>
      <c r="B484" s="2" t="s">
        <v>995</v>
      </c>
      <c r="C484" s="2" t="n">
        <v>2025</v>
      </c>
      <c r="D484" s="2" t="s">
        <v>31</v>
      </c>
      <c r="E484" s="2" t="s">
        <v>1001</v>
      </c>
      <c r="F484" s="2" t="s">
        <v>1002</v>
      </c>
      <c r="G484" s="2" t="s">
        <v>1003</v>
      </c>
      <c r="H484" s="2" t="s">
        <v>266</v>
      </c>
      <c r="I484" s="4"/>
      <c r="J484" s="4"/>
      <c r="K484" s="4"/>
    </row>
    <row r="485" customFormat="false" ht="46.25" hidden="false" customHeight="false" outlineLevel="0" collapsed="false">
      <c r="A485" s="2" t="s">
        <v>994</v>
      </c>
      <c r="B485" s="2" t="s">
        <v>995</v>
      </c>
      <c r="C485" s="2" t="n">
        <v>2025</v>
      </c>
      <c r="D485" s="2" t="s">
        <v>33</v>
      </c>
      <c r="E485" s="2" t="s">
        <v>958</v>
      </c>
      <c r="F485" s="2" t="s">
        <v>1004</v>
      </c>
      <c r="G485" s="2" t="s">
        <v>1005</v>
      </c>
      <c r="H485" s="2" t="s">
        <v>266</v>
      </c>
      <c r="I485" s="4"/>
      <c r="J485" s="4"/>
      <c r="K485" s="4"/>
    </row>
    <row r="486" customFormat="false" ht="15" hidden="false" customHeight="false" outlineLevel="0" collapsed="false">
      <c r="A486" s="2" t="s">
        <v>994</v>
      </c>
      <c r="B486" s="2" t="s">
        <v>995</v>
      </c>
      <c r="C486" s="2" t="n">
        <v>2025</v>
      </c>
      <c r="D486" s="2" t="s">
        <v>37</v>
      </c>
      <c r="E486" s="2" t="s">
        <v>1006</v>
      </c>
      <c r="F486" s="2"/>
      <c r="G486" s="2" t="s">
        <v>1007</v>
      </c>
      <c r="H486" s="2" t="s">
        <v>266</v>
      </c>
      <c r="I486" s="4"/>
      <c r="J486" s="4"/>
      <c r="K486" s="4"/>
    </row>
    <row r="487" customFormat="false" ht="15" hidden="false" customHeight="false" outlineLevel="0" collapsed="false">
      <c r="A487" s="2" t="s">
        <v>994</v>
      </c>
      <c r="B487" s="2" t="s">
        <v>995</v>
      </c>
      <c r="C487" s="2" t="n">
        <v>2025</v>
      </c>
      <c r="D487" s="2" t="s">
        <v>39</v>
      </c>
      <c r="E487" s="2" t="s">
        <v>38</v>
      </c>
      <c r="F487" s="2"/>
      <c r="G487" s="2"/>
      <c r="H487" s="2" t="s">
        <v>266</v>
      </c>
      <c r="I487" s="4"/>
      <c r="J487" s="4"/>
      <c r="K487" s="4"/>
    </row>
    <row r="488" customFormat="false" ht="23.85" hidden="false" customHeight="false" outlineLevel="0" collapsed="false">
      <c r="A488" s="2" t="s">
        <v>994</v>
      </c>
      <c r="B488" s="2" t="s">
        <v>995</v>
      </c>
      <c r="C488" s="2" t="n">
        <v>2025</v>
      </c>
      <c r="D488" s="2" t="s">
        <v>57</v>
      </c>
      <c r="E488" s="2" t="s">
        <v>58</v>
      </c>
      <c r="F488" s="2" t="s">
        <v>1002</v>
      </c>
      <c r="G488" s="2" t="s">
        <v>1003</v>
      </c>
      <c r="H488" s="2" t="s">
        <v>266</v>
      </c>
      <c r="I488" s="4"/>
      <c r="J488" s="4"/>
      <c r="K488" s="4"/>
    </row>
    <row r="489" customFormat="false" ht="46.25" hidden="false" customHeight="false" outlineLevel="0" collapsed="false">
      <c r="A489" s="2" t="s">
        <v>1008</v>
      </c>
      <c r="B489" s="2" t="s">
        <v>1009</v>
      </c>
      <c r="C489" s="2" t="n">
        <v>2025</v>
      </c>
      <c r="D489" s="2" t="s">
        <v>20</v>
      </c>
      <c r="E489" s="2" t="s">
        <v>1010</v>
      </c>
      <c r="F489" s="2" t="s">
        <v>1011</v>
      </c>
      <c r="G489" s="2" t="s">
        <v>1012</v>
      </c>
      <c r="H489" s="2"/>
      <c r="I489" s="4"/>
      <c r="J489" s="4"/>
      <c r="K489" s="4"/>
    </row>
    <row r="490" customFormat="false" ht="35.05" hidden="false" customHeight="false" outlineLevel="0" collapsed="false">
      <c r="A490" s="2" t="s">
        <v>1008</v>
      </c>
      <c r="B490" s="2" t="s">
        <v>1009</v>
      </c>
      <c r="C490" s="2" t="n">
        <v>2025</v>
      </c>
      <c r="D490" s="2" t="s">
        <v>24</v>
      </c>
      <c r="E490" s="2" t="s">
        <v>161</v>
      </c>
      <c r="F490" s="2"/>
      <c r="G490" s="2" t="s">
        <v>1013</v>
      </c>
      <c r="H490" s="2"/>
      <c r="I490" s="4"/>
      <c r="J490" s="4"/>
      <c r="K490" s="4"/>
    </row>
    <row r="491" customFormat="false" ht="46.25" hidden="false" customHeight="false" outlineLevel="0" collapsed="false">
      <c r="A491" s="2" t="s">
        <v>1008</v>
      </c>
      <c r="B491" s="2" t="s">
        <v>1009</v>
      </c>
      <c r="C491" s="2" t="n">
        <v>2025</v>
      </c>
      <c r="D491" s="2" t="s">
        <v>27</v>
      </c>
      <c r="E491" s="2" t="s">
        <v>1014</v>
      </c>
      <c r="F491" s="2" t="s">
        <v>1015</v>
      </c>
      <c r="G491" s="2" t="s">
        <v>1016</v>
      </c>
      <c r="H491" s="2"/>
      <c r="I491" s="4"/>
      <c r="J491" s="4"/>
      <c r="K491" s="4"/>
    </row>
    <row r="492" customFormat="false" ht="35.05" hidden="false" customHeight="false" outlineLevel="0" collapsed="false">
      <c r="A492" s="2" t="s">
        <v>1008</v>
      </c>
      <c r="B492" s="2" t="s">
        <v>1009</v>
      </c>
      <c r="C492" s="2" t="n">
        <v>2025</v>
      </c>
      <c r="D492" s="2" t="s">
        <v>31</v>
      </c>
      <c r="E492" s="2" t="s">
        <v>554</v>
      </c>
      <c r="F492" s="2" t="s">
        <v>1017</v>
      </c>
      <c r="G492" s="2" t="s">
        <v>1018</v>
      </c>
      <c r="H492" s="2"/>
      <c r="I492" s="4"/>
      <c r="J492" s="4"/>
      <c r="K492" s="4"/>
    </row>
    <row r="493" customFormat="false" ht="35.05" hidden="false" customHeight="false" outlineLevel="0" collapsed="false">
      <c r="A493" s="2" t="s">
        <v>1008</v>
      </c>
      <c r="B493" s="2" t="s">
        <v>1009</v>
      </c>
      <c r="C493" s="2" t="n">
        <v>2025</v>
      </c>
      <c r="D493" s="2" t="s">
        <v>33</v>
      </c>
      <c r="E493" s="2" t="s">
        <v>1019</v>
      </c>
      <c r="F493" s="2" t="s">
        <v>1020</v>
      </c>
      <c r="G493" s="2" t="s">
        <v>1021</v>
      </c>
      <c r="H493" s="2"/>
      <c r="I493" s="4"/>
      <c r="J493" s="4"/>
      <c r="K493" s="4"/>
    </row>
    <row r="494" customFormat="false" ht="23.85" hidden="false" customHeight="false" outlineLevel="0" collapsed="false">
      <c r="A494" s="2" t="s">
        <v>1008</v>
      </c>
      <c r="B494" s="2" t="s">
        <v>1009</v>
      </c>
      <c r="C494" s="2" t="n">
        <v>2025</v>
      </c>
      <c r="D494" s="2" t="s">
        <v>37</v>
      </c>
      <c r="E494" s="2" t="s">
        <v>491</v>
      </c>
      <c r="F494" s="2"/>
      <c r="G494" s="2" t="s">
        <v>1022</v>
      </c>
      <c r="H494" s="2"/>
      <c r="I494" s="4"/>
      <c r="J494" s="4"/>
      <c r="K494" s="4"/>
    </row>
    <row r="495" customFormat="false" ht="68.65" hidden="false" customHeight="false" outlineLevel="0" collapsed="false">
      <c r="A495" s="2" t="s">
        <v>1008</v>
      </c>
      <c r="B495" s="2" t="s">
        <v>1009</v>
      </c>
      <c r="C495" s="2" t="n">
        <v>2025</v>
      </c>
      <c r="D495" s="2" t="s">
        <v>39</v>
      </c>
      <c r="E495" s="2" t="s">
        <v>1023</v>
      </c>
      <c r="F495" s="2"/>
      <c r="G495" s="2" t="s">
        <v>1024</v>
      </c>
      <c r="H495" s="2"/>
      <c r="I495" s="4"/>
      <c r="J495" s="4"/>
      <c r="K495" s="4"/>
    </row>
    <row r="496" customFormat="false" ht="35.05" hidden="false" customHeight="false" outlineLevel="0" collapsed="false">
      <c r="A496" s="2" t="s">
        <v>1025</v>
      </c>
      <c r="B496" s="2" t="s">
        <v>1026</v>
      </c>
      <c r="C496" s="2" t="n">
        <v>2025</v>
      </c>
      <c r="D496" s="2" t="s">
        <v>20</v>
      </c>
      <c r="E496" s="2" t="s">
        <v>1027</v>
      </c>
      <c r="F496" s="2" t="s">
        <v>1028</v>
      </c>
      <c r="G496" s="2" t="s">
        <v>1029</v>
      </c>
      <c r="H496" s="2"/>
      <c r="I496" s="4"/>
      <c r="J496" s="4"/>
      <c r="K496" s="4"/>
    </row>
    <row r="497" customFormat="false" ht="35.05" hidden="false" customHeight="false" outlineLevel="0" collapsed="false">
      <c r="A497" s="2" t="s">
        <v>1025</v>
      </c>
      <c r="B497" s="2" t="s">
        <v>1026</v>
      </c>
      <c r="C497" s="2" t="n">
        <v>2025</v>
      </c>
      <c r="D497" s="2" t="s">
        <v>24</v>
      </c>
      <c r="E497" s="2" t="s">
        <v>432</v>
      </c>
      <c r="F497" s="2"/>
      <c r="G497" s="2" t="s">
        <v>1030</v>
      </c>
      <c r="H497" s="2"/>
      <c r="I497" s="4"/>
      <c r="J497" s="4"/>
      <c r="K497" s="4"/>
    </row>
    <row r="498" customFormat="false" ht="35.05" hidden="false" customHeight="false" outlineLevel="0" collapsed="false">
      <c r="A498" s="2" t="s">
        <v>1025</v>
      </c>
      <c r="B498" s="2" t="s">
        <v>1026</v>
      </c>
      <c r="C498" s="2" t="n">
        <v>2025</v>
      </c>
      <c r="D498" s="2" t="s">
        <v>27</v>
      </c>
      <c r="E498" s="2" t="s">
        <v>1031</v>
      </c>
      <c r="F498" s="2" t="s">
        <v>1032</v>
      </c>
      <c r="G498" s="2" t="s">
        <v>1033</v>
      </c>
      <c r="H498" s="2"/>
      <c r="I498" s="4"/>
      <c r="J498" s="4"/>
      <c r="K498" s="4"/>
    </row>
    <row r="499" customFormat="false" ht="46.25" hidden="false" customHeight="false" outlineLevel="0" collapsed="false">
      <c r="A499" s="2" t="s">
        <v>1025</v>
      </c>
      <c r="B499" s="2" t="s">
        <v>1026</v>
      </c>
      <c r="C499" s="2" t="n">
        <v>2025</v>
      </c>
      <c r="D499" s="2" t="s">
        <v>31</v>
      </c>
      <c r="E499" s="2" t="s">
        <v>1034</v>
      </c>
      <c r="F499" s="2" t="s">
        <v>1035</v>
      </c>
      <c r="G499" s="2" t="s">
        <v>1036</v>
      </c>
      <c r="H499" s="2"/>
      <c r="I499" s="4"/>
      <c r="J499" s="4"/>
      <c r="K499" s="4"/>
    </row>
    <row r="500" customFormat="false" ht="23.85" hidden="false" customHeight="false" outlineLevel="0" collapsed="false">
      <c r="A500" s="2" t="s">
        <v>1025</v>
      </c>
      <c r="B500" s="2" t="s">
        <v>1026</v>
      </c>
      <c r="C500" s="2" t="n">
        <v>2025</v>
      </c>
      <c r="D500" s="2" t="s">
        <v>33</v>
      </c>
      <c r="E500" s="2" t="s">
        <v>1037</v>
      </c>
      <c r="F500" s="2" t="s">
        <v>1038</v>
      </c>
      <c r="G500" s="2" t="s">
        <v>1039</v>
      </c>
      <c r="H500" s="2"/>
      <c r="I500" s="4"/>
      <c r="J500" s="4"/>
      <c r="K500" s="4"/>
    </row>
    <row r="501" customFormat="false" ht="23.85" hidden="false" customHeight="false" outlineLevel="0" collapsed="false">
      <c r="A501" s="2" t="s">
        <v>1025</v>
      </c>
      <c r="B501" s="2" t="s">
        <v>1026</v>
      </c>
      <c r="C501" s="2" t="n">
        <v>2025</v>
      </c>
      <c r="D501" s="2" t="s">
        <v>37</v>
      </c>
      <c r="E501" s="2" t="s">
        <v>1040</v>
      </c>
      <c r="F501" s="2"/>
      <c r="G501" s="2" t="s">
        <v>1041</v>
      </c>
      <c r="H501" s="2"/>
      <c r="I501" s="4"/>
      <c r="J501" s="4"/>
      <c r="K501" s="4"/>
    </row>
    <row r="502" customFormat="false" ht="68.65" hidden="false" customHeight="false" outlineLevel="0" collapsed="false">
      <c r="A502" s="2" t="s">
        <v>1025</v>
      </c>
      <c r="B502" s="2" t="s">
        <v>1026</v>
      </c>
      <c r="C502" s="2" t="n">
        <v>2025</v>
      </c>
      <c r="D502" s="2" t="s">
        <v>39</v>
      </c>
      <c r="E502" s="2" t="s">
        <v>1042</v>
      </c>
      <c r="F502" s="2"/>
      <c r="G502" s="2" t="s">
        <v>1043</v>
      </c>
      <c r="H502" s="2"/>
      <c r="I502" s="4"/>
      <c r="J502" s="4"/>
      <c r="K502" s="4"/>
    </row>
    <row r="503" customFormat="false" ht="23.85" hidden="false" customHeight="false" outlineLevel="0" collapsed="false">
      <c r="A503" s="2" t="s">
        <v>1025</v>
      </c>
      <c r="B503" s="2" t="s">
        <v>1026</v>
      </c>
      <c r="C503" s="2" t="n">
        <v>2025</v>
      </c>
      <c r="D503" s="2" t="s">
        <v>57</v>
      </c>
      <c r="E503" s="2" t="s">
        <v>341</v>
      </c>
      <c r="F503" s="2"/>
      <c r="G503" s="2" t="s">
        <v>1036</v>
      </c>
      <c r="H503" s="2"/>
      <c r="I503" s="4"/>
      <c r="J503" s="4"/>
      <c r="K503" s="4"/>
    </row>
    <row r="504" customFormat="false" ht="35.05" hidden="false" customHeight="false" outlineLevel="0" collapsed="false">
      <c r="A504" s="2" t="s">
        <v>1044</v>
      </c>
      <c r="B504" s="2" t="s">
        <v>1045</v>
      </c>
      <c r="C504" s="2" t="n">
        <v>2025</v>
      </c>
      <c r="D504" s="2" t="s">
        <v>20</v>
      </c>
      <c r="E504" s="2" t="s">
        <v>1046</v>
      </c>
      <c r="F504" s="2" t="s">
        <v>1047</v>
      </c>
      <c r="G504" s="2" t="s">
        <v>1048</v>
      </c>
      <c r="H504" s="2"/>
      <c r="I504" s="4"/>
      <c r="J504" s="4"/>
      <c r="K504" s="4"/>
    </row>
    <row r="505" customFormat="false" ht="35.05" hidden="false" customHeight="false" outlineLevel="0" collapsed="false">
      <c r="A505" s="2" t="s">
        <v>1044</v>
      </c>
      <c r="B505" s="2" t="s">
        <v>1045</v>
      </c>
      <c r="C505" s="2" t="n">
        <v>2025</v>
      </c>
      <c r="D505" s="2" t="s">
        <v>24</v>
      </c>
      <c r="E505" s="2" t="s">
        <v>130</v>
      </c>
      <c r="F505" s="2"/>
      <c r="G505" s="2" t="s">
        <v>1049</v>
      </c>
      <c r="H505" s="2"/>
      <c r="I505" s="4"/>
      <c r="J505" s="4"/>
      <c r="K505" s="4"/>
    </row>
    <row r="506" customFormat="false" ht="15" hidden="false" customHeight="false" outlineLevel="0" collapsed="false">
      <c r="A506" s="2" t="s">
        <v>1044</v>
      </c>
      <c r="B506" s="2" t="s">
        <v>1045</v>
      </c>
      <c r="C506" s="2" t="n">
        <v>2025</v>
      </c>
      <c r="D506" s="2" t="s">
        <v>27</v>
      </c>
      <c r="E506" s="2" t="s">
        <v>49</v>
      </c>
      <c r="F506" s="2"/>
      <c r="G506" s="2"/>
      <c r="H506" s="2"/>
      <c r="I506" s="4"/>
      <c r="J506" s="4"/>
      <c r="K506" s="4"/>
    </row>
    <row r="507" customFormat="false" ht="23.85" hidden="false" customHeight="false" outlineLevel="0" collapsed="false">
      <c r="A507" s="2" t="s">
        <v>1044</v>
      </c>
      <c r="B507" s="2" t="s">
        <v>1045</v>
      </c>
      <c r="C507" s="2" t="n">
        <v>2025</v>
      </c>
      <c r="D507" s="2" t="s">
        <v>31</v>
      </c>
      <c r="E507" s="2" t="s">
        <v>1050</v>
      </c>
      <c r="F507" s="2" t="s">
        <v>1051</v>
      </c>
      <c r="G507" s="2" t="s">
        <v>1052</v>
      </c>
      <c r="H507" s="2"/>
      <c r="I507" s="4"/>
      <c r="J507" s="4"/>
      <c r="K507" s="4"/>
    </row>
    <row r="508" customFormat="false" ht="35.05" hidden="false" customHeight="false" outlineLevel="0" collapsed="false">
      <c r="A508" s="2" t="s">
        <v>1044</v>
      </c>
      <c r="B508" s="2" t="s">
        <v>1045</v>
      </c>
      <c r="C508" s="2" t="n">
        <v>2025</v>
      </c>
      <c r="D508" s="2" t="s">
        <v>33</v>
      </c>
      <c r="E508" s="2" t="s">
        <v>1053</v>
      </c>
      <c r="F508" s="2" t="s">
        <v>1054</v>
      </c>
      <c r="G508" s="2" t="s">
        <v>1055</v>
      </c>
      <c r="H508" s="2"/>
      <c r="I508" s="4"/>
      <c r="J508" s="4"/>
      <c r="K508" s="4"/>
    </row>
    <row r="509" customFormat="false" ht="35.05" hidden="false" customHeight="false" outlineLevel="0" collapsed="false">
      <c r="A509" s="2" t="s">
        <v>1044</v>
      </c>
      <c r="B509" s="2" t="s">
        <v>1045</v>
      </c>
      <c r="C509" s="2" t="n">
        <v>2025</v>
      </c>
      <c r="D509" s="2" t="s">
        <v>37</v>
      </c>
      <c r="E509" s="2" t="s">
        <v>1056</v>
      </c>
      <c r="F509" s="2"/>
      <c r="G509" s="2" t="s">
        <v>1057</v>
      </c>
      <c r="H509" s="2"/>
      <c r="I509" s="4"/>
      <c r="J509" s="4"/>
      <c r="K509" s="4"/>
    </row>
    <row r="510" customFormat="false" ht="57.45" hidden="false" customHeight="false" outlineLevel="0" collapsed="false">
      <c r="A510" s="2" t="s">
        <v>1044</v>
      </c>
      <c r="B510" s="2" t="s">
        <v>1045</v>
      </c>
      <c r="C510" s="2" t="n">
        <v>2025</v>
      </c>
      <c r="D510" s="2" t="s">
        <v>39</v>
      </c>
      <c r="E510" s="2" t="s">
        <v>1058</v>
      </c>
      <c r="F510" s="2"/>
      <c r="G510" s="2" t="s">
        <v>1059</v>
      </c>
      <c r="H510" s="2"/>
      <c r="I510" s="4"/>
      <c r="J510" s="4"/>
      <c r="K510" s="4"/>
    </row>
    <row r="511" customFormat="false" ht="23.85" hidden="false" customHeight="false" outlineLevel="0" collapsed="false">
      <c r="A511" s="2" t="s">
        <v>1044</v>
      </c>
      <c r="B511" s="2" t="s">
        <v>1045</v>
      </c>
      <c r="C511" s="2" t="n">
        <v>2025</v>
      </c>
      <c r="D511" s="2" t="s">
        <v>57</v>
      </c>
      <c r="E511" s="2" t="s">
        <v>58</v>
      </c>
      <c r="F511" s="2" t="s">
        <v>1051</v>
      </c>
      <c r="G511" s="2" t="s">
        <v>1052</v>
      </c>
      <c r="H511" s="2"/>
      <c r="I511" s="4"/>
      <c r="J511" s="4"/>
      <c r="K511" s="4"/>
    </row>
    <row r="512" customFormat="false" ht="46.25" hidden="false" customHeight="false" outlineLevel="0" collapsed="false">
      <c r="A512" s="2" t="s">
        <v>1060</v>
      </c>
      <c r="B512" s="2" t="s">
        <v>1061</v>
      </c>
      <c r="C512" s="2" t="n">
        <v>2026</v>
      </c>
      <c r="D512" s="2" t="s">
        <v>20</v>
      </c>
      <c r="E512" s="2" t="s">
        <v>61</v>
      </c>
      <c r="F512" s="2" t="s">
        <v>1062</v>
      </c>
      <c r="G512" s="2" t="s">
        <v>1063</v>
      </c>
      <c r="H512" s="2"/>
      <c r="I512" s="4"/>
      <c r="J512" s="4"/>
      <c r="K512" s="4"/>
    </row>
    <row r="513" customFormat="false" ht="23.85" hidden="false" customHeight="false" outlineLevel="0" collapsed="false">
      <c r="A513" s="2" t="s">
        <v>1060</v>
      </c>
      <c r="B513" s="2" t="s">
        <v>1061</v>
      </c>
      <c r="C513" s="2" t="n">
        <v>2026</v>
      </c>
      <c r="D513" s="2" t="s">
        <v>24</v>
      </c>
      <c r="E513" s="2" t="s">
        <v>161</v>
      </c>
      <c r="F513" s="2"/>
      <c r="G513" s="2" t="s">
        <v>1064</v>
      </c>
      <c r="H513" s="2"/>
      <c r="I513" s="4"/>
      <c r="J513" s="4"/>
      <c r="K513" s="4"/>
    </row>
    <row r="514" customFormat="false" ht="46.25" hidden="false" customHeight="false" outlineLevel="0" collapsed="false">
      <c r="A514" s="2" t="s">
        <v>1060</v>
      </c>
      <c r="B514" s="2" t="s">
        <v>1061</v>
      </c>
      <c r="C514" s="2" t="n">
        <v>2026</v>
      </c>
      <c r="D514" s="2" t="s">
        <v>27</v>
      </c>
      <c r="E514" s="2" t="s">
        <v>315</v>
      </c>
      <c r="F514" s="2" t="s">
        <v>1065</v>
      </c>
      <c r="G514" s="2" t="s">
        <v>1066</v>
      </c>
      <c r="H514" s="2"/>
      <c r="I514" s="4"/>
      <c r="J514" s="4"/>
      <c r="K514" s="4"/>
    </row>
    <row r="515" customFormat="false" ht="35.05" hidden="false" customHeight="false" outlineLevel="0" collapsed="false">
      <c r="A515" s="2" t="s">
        <v>1060</v>
      </c>
      <c r="B515" s="2" t="s">
        <v>1061</v>
      </c>
      <c r="C515" s="2" t="n">
        <v>2026</v>
      </c>
      <c r="D515" s="2" t="s">
        <v>31</v>
      </c>
      <c r="E515" s="2" t="s">
        <v>95</v>
      </c>
      <c r="F515" s="2" t="s">
        <v>1067</v>
      </c>
      <c r="G515" s="2" t="s">
        <v>1068</v>
      </c>
      <c r="H515" s="2"/>
      <c r="I515" s="4"/>
      <c r="J515" s="4"/>
      <c r="K515" s="4"/>
    </row>
    <row r="516" customFormat="false" ht="35.05" hidden="false" customHeight="false" outlineLevel="0" collapsed="false">
      <c r="A516" s="2" t="s">
        <v>1060</v>
      </c>
      <c r="B516" s="2" t="s">
        <v>1061</v>
      </c>
      <c r="C516" s="2" t="n">
        <v>2026</v>
      </c>
      <c r="D516" s="2" t="s">
        <v>33</v>
      </c>
      <c r="E516" s="2" t="s">
        <v>1019</v>
      </c>
      <c r="F516" s="2" t="s">
        <v>1069</v>
      </c>
      <c r="G516" s="2" t="s">
        <v>1070</v>
      </c>
      <c r="H516" s="2"/>
      <c r="I516" s="4"/>
      <c r="J516" s="4"/>
      <c r="K516" s="4"/>
    </row>
    <row r="517" customFormat="false" ht="23.85" hidden="false" customHeight="false" outlineLevel="0" collapsed="false">
      <c r="A517" s="2" t="s">
        <v>1060</v>
      </c>
      <c r="B517" s="2" t="s">
        <v>1061</v>
      </c>
      <c r="C517" s="2" t="n">
        <v>2026</v>
      </c>
      <c r="D517" s="2" t="s">
        <v>37</v>
      </c>
      <c r="E517" s="2" t="s">
        <v>491</v>
      </c>
      <c r="F517" s="2"/>
      <c r="G517" s="2" t="s">
        <v>1071</v>
      </c>
      <c r="H517" s="2"/>
      <c r="I517" s="4"/>
      <c r="J517" s="4"/>
      <c r="K517" s="4"/>
    </row>
    <row r="518" customFormat="false" ht="15" hidden="false" customHeight="false" outlineLevel="0" collapsed="false">
      <c r="A518" s="2" t="s">
        <v>1060</v>
      </c>
      <c r="B518" s="2" t="s">
        <v>1061</v>
      </c>
      <c r="C518" s="2" t="n">
        <v>2026</v>
      </c>
      <c r="D518" s="2" t="s">
        <v>39</v>
      </c>
      <c r="E518" s="2" t="s">
        <v>38</v>
      </c>
      <c r="F518" s="2"/>
      <c r="G518" s="2"/>
      <c r="H518" s="2"/>
      <c r="I518" s="4"/>
      <c r="J518" s="4"/>
      <c r="K518" s="4"/>
    </row>
    <row r="519" customFormat="false" ht="35.05" hidden="false" customHeight="false" outlineLevel="0" collapsed="false">
      <c r="A519" s="2" t="s">
        <v>1072</v>
      </c>
      <c r="B519" s="2" t="s">
        <v>1073</v>
      </c>
      <c r="C519" s="2" t="n">
        <v>2026</v>
      </c>
      <c r="D519" s="2" t="s">
        <v>20</v>
      </c>
      <c r="E519" s="2" t="s">
        <v>1074</v>
      </c>
      <c r="F519" s="2" t="s">
        <v>1075</v>
      </c>
      <c r="G519" s="2" t="s">
        <v>1076</v>
      </c>
      <c r="H519" s="2"/>
      <c r="I519" s="4"/>
      <c r="J519" s="4"/>
      <c r="K519" s="4"/>
    </row>
    <row r="520" customFormat="false" ht="23.85" hidden="false" customHeight="false" outlineLevel="0" collapsed="false">
      <c r="A520" s="2" t="s">
        <v>1072</v>
      </c>
      <c r="B520" s="2" t="s">
        <v>1073</v>
      </c>
      <c r="C520" s="2" t="n">
        <v>2026</v>
      </c>
      <c r="D520" s="2" t="s">
        <v>24</v>
      </c>
      <c r="E520" s="2" t="s">
        <v>519</v>
      </c>
      <c r="F520" s="2"/>
      <c r="G520" s="2" t="s">
        <v>1077</v>
      </c>
      <c r="H520" s="2"/>
      <c r="I520" s="4"/>
      <c r="J520" s="4"/>
      <c r="K520" s="4"/>
    </row>
    <row r="521" customFormat="false" ht="15" hidden="false" customHeight="false" outlineLevel="0" collapsed="false">
      <c r="A521" s="2" t="s">
        <v>1072</v>
      </c>
      <c r="B521" s="2" t="s">
        <v>1073</v>
      </c>
      <c r="C521" s="2" t="n">
        <v>2026</v>
      </c>
      <c r="D521" s="2" t="s">
        <v>27</v>
      </c>
      <c r="E521" s="2" t="s">
        <v>49</v>
      </c>
      <c r="F521" s="2"/>
      <c r="G521" s="2"/>
      <c r="H521" s="2"/>
      <c r="I521" s="4"/>
      <c r="J521" s="4"/>
      <c r="K521" s="4"/>
    </row>
    <row r="522" customFormat="false" ht="23.85" hidden="false" customHeight="false" outlineLevel="0" collapsed="false">
      <c r="A522" s="2" t="s">
        <v>1072</v>
      </c>
      <c r="B522" s="2" t="s">
        <v>1073</v>
      </c>
      <c r="C522" s="2" t="n">
        <v>2026</v>
      </c>
      <c r="D522" s="2" t="s">
        <v>31</v>
      </c>
      <c r="E522" s="2" t="s">
        <v>95</v>
      </c>
      <c r="F522" s="2" t="s">
        <v>1078</v>
      </c>
      <c r="G522" s="2" t="s">
        <v>1079</v>
      </c>
      <c r="H522" s="2"/>
      <c r="I522" s="4"/>
      <c r="J522" s="4"/>
      <c r="K522" s="4"/>
    </row>
    <row r="523" customFormat="false" ht="23.85" hidden="false" customHeight="false" outlineLevel="0" collapsed="false">
      <c r="A523" s="2" t="s">
        <v>1072</v>
      </c>
      <c r="B523" s="2" t="s">
        <v>1073</v>
      </c>
      <c r="C523" s="2" t="n">
        <v>2026</v>
      </c>
      <c r="D523" s="2" t="s">
        <v>33</v>
      </c>
      <c r="E523" s="2" t="s">
        <v>1080</v>
      </c>
      <c r="F523" s="2" t="s">
        <v>1081</v>
      </c>
      <c r="G523" s="2" t="s">
        <v>1055</v>
      </c>
      <c r="H523" s="2"/>
      <c r="I523" s="4"/>
      <c r="J523" s="4"/>
      <c r="K523" s="4"/>
    </row>
    <row r="524" customFormat="false" ht="15" hidden="false" customHeight="false" outlineLevel="0" collapsed="false">
      <c r="A524" s="2" t="s">
        <v>1072</v>
      </c>
      <c r="B524" s="2" t="s">
        <v>1073</v>
      </c>
      <c r="C524" s="2" t="n">
        <v>2026</v>
      </c>
      <c r="D524" s="2" t="s">
        <v>37</v>
      </c>
      <c r="E524" s="2" t="s">
        <v>38</v>
      </c>
      <c r="F524" s="2"/>
      <c r="G524" s="2"/>
      <c r="H524" s="2"/>
      <c r="I524" s="4"/>
      <c r="J524" s="4"/>
      <c r="K524" s="4"/>
    </row>
    <row r="525" customFormat="false" ht="79.85" hidden="false" customHeight="false" outlineLevel="0" collapsed="false">
      <c r="A525" s="2" t="s">
        <v>1072</v>
      </c>
      <c r="B525" s="2" t="s">
        <v>1073</v>
      </c>
      <c r="C525" s="2" t="n">
        <v>2026</v>
      </c>
      <c r="D525" s="2" t="s">
        <v>39</v>
      </c>
      <c r="E525" s="2" t="s">
        <v>1082</v>
      </c>
      <c r="F525" s="2"/>
      <c r="G525" s="2" t="s">
        <v>1083</v>
      </c>
      <c r="H525" s="2"/>
      <c r="I525" s="4"/>
      <c r="J525" s="4"/>
      <c r="K525" s="4"/>
    </row>
    <row r="526" customFormat="false" ht="46.25" hidden="false" customHeight="false" outlineLevel="0" collapsed="false">
      <c r="A526" s="2" t="s">
        <v>1084</v>
      </c>
      <c r="B526" s="2" t="s">
        <v>1085</v>
      </c>
      <c r="C526" s="2" t="n">
        <v>2026</v>
      </c>
      <c r="D526" s="2" t="s">
        <v>20</v>
      </c>
      <c r="E526" s="2" t="s">
        <v>1086</v>
      </c>
      <c r="F526" s="2" t="s">
        <v>1087</v>
      </c>
      <c r="G526" s="2" t="s">
        <v>1088</v>
      </c>
      <c r="H526" s="2"/>
      <c r="I526" s="4"/>
      <c r="J526" s="4"/>
      <c r="K526" s="4"/>
    </row>
    <row r="527" customFormat="false" ht="23.85" hidden="false" customHeight="false" outlineLevel="0" collapsed="false">
      <c r="A527" s="2" t="s">
        <v>1084</v>
      </c>
      <c r="B527" s="2" t="s">
        <v>1085</v>
      </c>
      <c r="C527" s="2" t="n">
        <v>2026</v>
      </c>
      <c r="D527" s="2" t="s">
        <v>24</v>
      </c>
      <c r="E527" s="2" t="s">
        <v>996</v>
      </c>
      <c r="F527" s="2"/>
      <c r="G527" s="2" t="s">
        <v>1088</v>
      </c>
      <c r="H527" s="2"/>
      <c r="I527" s="4"/>
      <c r="J527" s="4"/>
      <c r="K527" s="4"/>
    </row>
    <row r="528" customFormat="false" ht="23.85" hidden="false" customHeight="false" outlineLevel="0" collapsed="false">
      <c r="A528" s="2" t="s">
        <v>1084</v>
      </c>
      <c r="B528" s="2" t="s">
        <v>1085</v>
      </c>
      <c r="C528" s="2" t="n">
        <v>2026</v>
      </c>
      <c r="D528" s="2" t="s">
        <v>27</v>
      </c>
      <c r="E528" s="2" t="s">
        <v>1089</v>
      </c>
      <c r="F528" s="2" t="s">
        <v>1090</v>
      </c>
      <c r="G528" s="2" t="s">
        <v>1091</v>
      </c>
      <c r="H528" s="2"/>
      <c r="I528" s="4"/>
      <c r="J528" s="4"/>
      <c r="K528" s="4"/>
    </row>
    <row r="529" customFormat="false" ht="35.05" hidden="false" customHeight="false" outlineLevel="0" collapsed="false">
      <c r="A529" s="2" t="s">
        <v>1084</v>
      </c>
      <c r="B529" s="2" t="s">
        <v>1085</v>
      </c>
      <c r="C529" s="2" t="n">
        <v>2026</v>
      </c>
      <c r="D529" s="2" t="s">
        <v>31</v>
      </c>
      <c r="E529" s="2" t="s">
        <v>1092</v>
      </c>
      <c r="F529" s="2" t="s">
        <v>1093</v>
      </c>
      <c r="G529" s="2" t="s">
        <v>1094</v>
      </c>
      <c r="H529" s="2"/>
      <c r="I529" s="4"/>
      <c r="J529" s="4"/>
      <c r="K529" s="4"/>
    </row>
    <row r="530" customFormat="false" ht="46.25" hidden="false" customHeight="false" outlineLevel="0" collapsed="false">
      <c r="A530" s="2" t="s">
        <v>1084</v>
      </c>
      <c r="B530" s="2" t="s">
        <v>1085</v>
      </c>
      <c r="C530" s="2" t="n">
        <v>2026</v>
      </c>
      <c r="D530" s="2" t="s">
        <v>33</v>
      </c>
      <c r="E530" s="2" t="s">
        <v>1095</v>
      </c>
      <c r="F530" s="2" t="s">
        <v>1096</v>
      </c>
      <c r="G530" s="2" t="s">
        <v>1097</v>
      </c>
      <c r="H530" s="2"/>
      <c r="I530" s="4"/>
      <c r="J530" s="4"/>
      <c r="K530" s="4"/>
    </row>
    <row r="531" customFormat="false" ht="15" hidden="false" customHeight="false" outlineLevel="0" collapsed="false">
      <c r="A531" s="2" t="s">
        <v>1084</v>
      </c>
      <c r="B531" s="2" t="s">
        <v>1085</v>
      </c>
      <c r="C531" s="2" t="n">
        <v>2026</v>
      </c>
      <c r="D531" s="2" t="s">
        <v>37</v>
      </c>
      <c r="E531" s="2" t="s">
        <v>38</v>
      </c>
      <c r="F531" s="2"/>
      <c r="G531" s="2" t="s">
        <v>1098</v>
      </c>
      <c r="H531" s="2"/>
      <c r="I531" s="4"/>
      <c r="J531" s="4"/>
      <c r="K531" s="4"/>
    </row>
    <row r="532" customFormat="false" ht="57.45" hidden="false" customHeight="false" outlineLevel="0" collapsed="false">
      <c r="A532" s="2" t="s">
        <v>1084</v>
      </c>
      <c r="B532" s="2" t="s">
        <v>1085</v>
      </c>
      <c r="C532" s="2" t="n">
        <v>2026</v>
      </c>
      <c r="D532" s="2" t="s">
        <v>39</v>
      </c>
      <c r="E532" s="2" t="s">
        <v>1099</v>
      </c>
      <c r="F532" s="2"/>
      <c r="G532" s="2" t="s">
        <v>1100</v>
      </c>
      <c r="H532" s="2"/>
      <c r="I532" s="4"/>
      <c r="J532" s="4"/>
      <c r="K532" s="4"/>
    </row>
    <row r="533" customFormat="false" ht="23.85" hidden="false" customHeight="false" outlineLevel="0" collapsed="false">
      <c r="A533" s="2" t="s">
        <v>1084</v>
      </c>
      <c r="B533" s="2" t="s">
        <v>1085</v>
      </c>
      <c r="C533" s="2" t="n">
        <v>2026</v>
      </c>
      <c r="D533" s="2" t="s">
        <v>57</v>
      </c>
      <c r="E533" s="2" t="s">
        <v>341</v>
      </c>
      <c r="F533" s="2"/>
      <c r="G533" s="2" t="s">
        <v>1094</v>
      </c>
      <c r="H533" s="2"/>
      <c r="I533" s="4"/>
      <c r="J533" s="4"/>
      <c r="K533" s="4"/>
    </row>
  </sheetData>
  <autoFilter ref="A1:K533"/>
  <dataValidations count="1">
    <dataValidation allowBlank="true" errorStyle="stop" operator="between" showDropDown="false" showErrorMessage="false" showInputMessage="false" sqref="I2:I533" type="list">
      <formula1>"verified,corrected,wrong"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1101</v>
      </c>
      <c r="E1" s="3" t="s">
        <v>1102</v>
      </c>
      <c r="F1" s="3" t="s">
        <v>1103</v>
      </c>
      <c r="G1" s="3" t="s">
        <v>1104</v>
      </c>
      <c r="H1" s="3" t="s">
        <v>1105</v>
      </c>
      <c r="I1" s="3" t="s">
        <v>1106</v>
      </c>
      <c r="J1" s="3" t="s">
        <v>1107</v>
      </c>
    </row>
    <row r="2" customFormat="false" ht="15" hidden="false" customHeight="false" outlineLevel="0" collapsed="false">
      <c r="A2" s="5" t="s">
        <v>1108</v>
      </c>
      <c r="B2" s="5" t="s">
        <v>1109</v>
      </c>
      <c r="C2" s="5" t="n">
        <v>1972</v>
      </c>
      <c r="D2" s="5" t="s">
        <v>1110</v>
      </c>
      <c r="E2" s="5" t="s">
        <v>1111</v>
      </c>
      <c r="F2" s="5" t="n">
        <v>2133</v>
      </c>
      <c r="G2" s="5" t="n">
        <f aca="false">IF(F2="","",ROUND(F2/(2026-C2+1),1))</f>
        <v>38.8</v>
      </c>
      <c r="H2" s="5" t="s">
        <v>1112</v>
      </c>
      <c r="I2" s="5" t="s">
        <v>1113</v>
      </c>
      <c r="J2" s="5"/>
    </row>
    <row r="3" customFormat="false" ht="15" hidden="false" customHeight="false" outlineLevel="0" collapsed="false">
      <c r="A3" s="5" t="s">
        <v>1114</v>
      </c>
      <c r="B3" s="5" t="s">
        <v>1115</v>
      </c>
      <c r="C3" s="5" t="n">
        <v>1976</v>
      </c>
      <c r="D3" s="5" t="s">
        <v>1116</v>
      </c>
      <c r="E3" s="5" t="s">
        <v>1117</v>
      </c>
      <c r="F3" s="5" t="n">
        <v>1288</v>
      </c>
      <c r="G3" s="5" t="n">
        <f aca="false">IF(F3="","",ROUND(F3/(2026-C3+1),1))</f>
        <v>25.3</v>
      </c>
      <c r="H3" s="5" t="s">
        <v>1112</v>
      </c>
      <c r="I3" s="5" t="s">
        <v>1113</v>
      </c>
      <c r="J3" s="5" t="s">
        <v>1118</v>
      </c>
    </row>
    <row r="4" customFormat="false" ht="15" hidden="false" customHeight="false" outlineLevel="0" collapsed="false">
      <c r="A4" s="5" t="s">
        <v>1119</v>
      </c>
      <c r="B4" s="5" t="s">
        <v>1120</v>
      </c>
      <c r="C4" s="5" t="n">
        <v>1997</v>
      </c>
      <c r="D4" s="5" t="s">
        <v>1121</v>
      </c>
      <c r="E4" s="5" t="s">
        <v>1122</v>
      </c>
      <c r="F4" s="5" t="n">
        <v>20446</v>
      </c>
      <c r="G4" s="5" t="n">
        <f aca="false">IF(F4="","",ROUND(F4/(2026-C4+1),1))</f>
        <v>681.5</v>
      </c>
      <c r="H4" s="5" t="s">
        <v>1112</v>
      </c>
      <c r="I4" s="5" t="s">
        <v>1113</v>
      </c>
      <c r="J4" s="5" t="s">
        <v>1123</v>
      </c>
    </row>
    <row r="5" customFormat="false" ht="15" hidden="false" customHeight="false" outlineLevel="0" collapsed="false">
      <c r="A5" s="5" t="s">
        <v>18</v>
      </c>
      <c r="B5" s="5" t="s">
        <v>19</v>
      </c>
      <c r="C5" s="5" t="n">
        <v>1997</v>
      </c>
      <c r="D5" s="5" t="s">
        <v>1124</v>
      </c>
      <c r="E5" s="5"/>
      <c r="F5" s="5" t="n">
        <v>2562</v>
      </c>
      <c r="G5" s="5" t="n">
        <f aca="false">IF(F5="","",ROUND(F5/(2026-C5+1),1))</f>
        <v>85.4</v>
      </c>
      <c r="H5" s="5" t="s">
        <v>1112</v>
      </c>
      <c r="I5" s="5" t="s">
        <v>1125</v>
      </c>
      <c r="J5" s="5" t="s">
        <v>1126</v>
      </c>
    </row>
    <row r="6" customFormat="false" ht="15" hidden="false" customHeight="false" outlineLevel="0" collapsed="false">
      <c r="A6" s="5" t="s">
        <v>42</v>
      </c>
      <c r="B6" s="5" t="s">
        <v>43</v>
      </c>
      <c r="C6" s="5" t="n">
        <v>1998</v>
      </c>
      <c r="D6" s="5" t="s">
        <v>1127</v>
      </c>
      <c r="E6" s="5" t="s">
        <v>1128</v>
      </c>
      <c r="F6" s="5" t="n">
        <v>1243</v>
      </c>
      <c r="G6" s="5" t="n">
        <f aca="false">IF(F6="","",ROUND(F6/(2026-C6+1),1))</f>
        <v>42.9</v>
      </c>
      <c r="H6" s="5" t="s">
        <v>1112</v>
      </c>
      <c r="I6" s="5" t="s">
        <v>1125</v>
      </c>
      <c r="J6" s="5" t="s">
        <v>1129</v>
      </c>
    </row>
    <row r="7" customFormat="false" ht="15" hidden="false" customHeight="false" outlineLevel="0" collapsed="false">
      <c r="A7" s="5" t="s">
        <v>59</v>
      </c>
      <c r="B7" s="5" t="s">
        <v>60</v>
      </c>
      <c r="C7" s="5" t="n">
        <v>2002</v>
      </c>
      <c r="D7" s="5" t="s">
        <v>1130</v>
      </c>
      <c r="E7" s="5" t="s">
        <v>1131</v>
      </c>
      <c r="F7" s="5" t="n">
        <v>32518</v>
      </c>
      <c r="G7" s="5" t="n">
        <f aca="false">IF(F7="","",ROUND(F7/(2026-C7+1),1))</f>
        <v>1300.7</v>
      </c>
      <c r="H7" s="5" t="s">
        <v>1112</v>
      </c>
      <c r="I7" s="5" t="s">
        <v>1125</v>
      </c>
      <c r="J7" s="5"/>
    </row>
    <row r="8" customFormat="false" ht="15" hidden="false" customHeight="false" outlineLevel="0" collapsed="false">
      <c r="A8" s="5" t="s">
        <v>77</v>
      </c>
      <c r="B8" s="5" t="s">
        <v>78</v>
      </c>
      <c r="C8" s="5" t="n">
        <v>2003</v>
      </c>
      <c r="D8" s="5" t="s">
        <v>1132</v>
      </c>
      <c r="E8" s="5" t="s">
        <v>1133</v>
      </c>
      <c r="F8" s="5" t="n">
        <v>1738</v>
      </c>
      <c r="G8" s="5" t="n">
        <f aca="false">IF(F8="","",ROUND(F8/(2026-C8+1),1))</f>
        <v>72.4</v>
      </c>
      <c r="H8" s="5" t="s">
        <v>1112</v>
      </c>
      <c r="I8" s="5" t="s">
        <v>1125</v>
      </c>
      <c r="J8" s="5" t="s">
        <v>1118</v>
      </c>
    </row>
    <row r="9" customFormat="false" ht="15" hidden="false" customHeight="false" outlineLevel="0" collapsed="false">
      <c r="A9" s="5" t="s">
        <v>89</v>
      </c>
      <c r="B9" s="5" t="s">
        <v>90</v>
      </c>
      <c r="C9" s="5" t="n">
        <v>2004</v>
      </c>
      <c r="D9" s="5" t="s">
        <v>1134</v>
      </c>
      <c r="E9" s="5" t="s">
        <v>1135</v>
      </c>
      <c r="F9" s="5" t="n">
        <v>4207</v>
      </c>
      <c r="G9" s="5" t="n">
        <f aca="false">IF(F9="","",ROUND(F9/(2026-C9+1),1))</f>
        <v>182.9</v>
      </c>
      <c r="H9" s="5" t="s">
        <v>1112</v>
      </c>
      <c r="I9" s="5" t="s">
        <v>1125</v>
      </c>
      <c r="J9" s="5"/>
    </row>
    <row r="10" customFormat="false" ht="15" hidden="false" customHeight="false" outlineLevel="0" collapsed="false">
      <c r="A10" s="5" t="s">
        <v>104</v>
      </c>
      <c r="B10" s="5" t="s">
        <v>105</v>
      </c>
      <c r="C10" s="5" t="n">
        <v>2005</v>
      </c>
      <c r="D10" s="5" t="s">
        <v>1136</v>
      </c>
      <c r="E10" s="5" t="s">
        <v>1137</v>
      </c>
      <c r="F10" s="5" t="n">
        <v>4313</v>
      </c>
      <c r="G10" s="5" t="n">
        <f aca="false">IF(F10="","",ROUND(F10/(2026-C10+1),1))</f>
        <v>196</v>
      </c>
      <c r="H10" s="5" t="s">
        <v>1112</v>
      </c>
      <c r="I10" s="5" t="s">
        <v>1125</v>
      </c>
      <c r="J10" s="5" t="s">
        <v>1138</v>
      </c>
    </row>
    <row r="11" customFormat="false" ht="15" hidden="false" customHeight="false" outlineLevel="0" collapsed="false">
      <c r="A11" s="5" t="s">
        <v>113</v>
      </c>
      <c r="B11" s="5" t="s">
        <v>114</v>
      </c>
      <c r="C11" s="5" t="n">
        <v>2006</v>
      </c>
      <c r="D11" s="5" t="s">
        <v>1139</v>
      </c>
      <c r="E11" s="5" t="s">
        <v>1140</v>
      </c>
      <c r="F11" s="5" t="n">
        <v>303</v>
      </c>
      <c r="G11" s="5" t="n">
        <f aca="false">IF(F11="","",ROUND(F11/(2026-C11+1),1))</f>
        <v>14.4</v>
      </c>
      <c r="H11" s="5" t="s">
        <v>1112</v>
      </c>
      <c r="I11" s="5" t="s">
        <v>1125</v>
      </c>
      <c r="J11" s="5" t="s">
        <v>1141</v>
      </c>
    </row>
    <row r="12" customFormat="false" ht="15" hidden="false" customHeight="false" outlineLevel="0" collapsed="false">
      <c r="A12" s="5" t="s">
        <v>128</v>
      </c>
      <c r="B12" s="5" t="s">
        <v>129</v>
      </c>
      <c r="C12" s="5" t="n">
        <v>2006</v>
      </c>
      <c r="D12" s="5"/>
      <c r="E12" s="5"/>
      <c r="F12" s="5"/>
      <c r="G12" s="5" t="str">
        <f aca="false">IF(F12="","",ROUND(F12/(2026-C12+1),1))</f>
        <v/>
      </c>
      <c r="H12" s="5" t="s">
        <v>1142</v>
      </c>
      <c r="I12" s="5" t="s">
        <v>1113</v>
      </c>
      <c r="J12" s="5" t="s">
        <v>1143</v>
      </c>
    </row>
    <row r="13" customFormat="false" ht="15" hidden="false" customHeight="false" outlineLevel="0" collapsed="false">
      <c r="A13" s="5" t="s">
        <v>142</v>
      </c>
      <c r="B13" s="5" t="s">
        <v>143</v>
      </c>
      <c r="C13" s="5" t="n">
        <v>2007</v>
      </c>
      <c r="D13" s="5" t="s">
        <v>1144</v>
      </c>
      <c r="E13" s="5" t="s">
        <v>1145</v>
      </c>
      <c r="F13" s="5" t="n">
        <v>67</v>
      </c>
      <c r="G13" s="5" t="n">
        <f aca="false">IF(F13="","",ROUND(F13/(2026-C13+1),1))</f>
        <v>3.4</v>
      </c>
      <c r="H13" s="5" t="s">
        <v>1112</v>
      </c>
      <c r="I13" s="5" t="s">
        <v>1125</v>
      </c>
      <c r="J13" s="5" t="s">
        <v>1146</v>
      </c>
    </row>
    <row r="14" customFormat="false" ht="15" hidden="false" customHeight="false" outlineLevel="0" collapsed="false">
      <c r="A14" s="5" t="s">
        <v>156</v>
      </c>
      <c r="B14" s="5" t="s">
        <v>157</v>
      </c>
      <c r="C14" s="5" t="n">
        <v>2008</v>
      </c>
      <c r="D14" s="5" t="s">
        <v>1147</v>
      </c>
      <c r="E14" s="5" t="s">
        <v>1148</v>
      </c>
      <c r="F14" s="5" t="n">
        <v>4927</v>
      </c>
      <c r="G14" s="5" t="n">
        <f aca="false">IF(F14="","",ROUND(F14/(2026-C14+1),1))</f>
        <v>259.3</v>
      </c>
      <c r="H14" s="5" t="s">
        <v>1112</v>
      </c>
      <c r="I14" s="5" t="s">
        <v>1125</v>
      </c>
      <c r="J14" s="5" t="s">
        <v>1149</v>
      </c>
    </row>
    <row r="15" customFormat="false" ht="15" hidden="false" customHeight="false" outlineLevel="0" collapsed="false">
      <c r="A15" s="5" t="s">
        <v>168</v>
      </c>
      <c r="B15" s="5" t="s">
        <v>169</v>
      </c>
      <c r="C15" s="5" t="n">
        <v>2008</v>
      </c>
      <c r="D15" s="5" t="s">
        <v>1150</v>
      </c>
      <c r="E15" s="5" t="s">
        <v>1151</v>
      </c>
      <c r="F15" s="5" t="n">
        <v>75</v>
      </c>
      <c r="G15" s="5" t="n">
        <f aca="false">IF(F15="","",ROUND(F15/(2026-C15+1),1))</f>
        <v>3.9</v>
      </c>
      <c r="H15" s="5" t="s">
        <v>1112</v>
      </c>
      <c r="I15" s="5" t="s">
        <v>1125</v>
      </c>
      <c r="J15" s="5" t="s">
        <v>1152</v>
      </c>
    </row>
    <row r="16" customFormat="false" ht="15" hidden="false" customHeight="false" outlineLevel="0" collapsed="false">
      <c r="A16" s="5" t="s">
        <v>187</v>
      </c>
      <c r="B16" s="5" t="s">
        <v>188</v>
      </c>
      <c r="C16" s="5" t="n">
        <v>2009</v>
      </c>
      <c r="D16" s="5" t="s">
        <v>1153</v>
      </c>
      <c r="E16" s="5" t="s">
        <v>1154</v>
      </c>
      <c r="F16" s="5" t="n">
        <v>2475</v>
      </c>
      <c r="G16" s="5" t="n">
        <f aca="false">IF(F16="","",ROUND(F16/(2026-C16+1),1))</f>
        <v>137.5</v>
      </c>
      <c r="H16" s="5" t="s">
        <v>1112</v>
      </c>
      <c r="I16" s="5" t="s">
        <v>1125</v>
      </c>
      <c r="J16" s="5" t="s">
        <v>1155</v>
      </c>
    </row>
    <row r="17" customFormat="false" ht="15" hidden="false" customHeight="false" outlineLevel="0" collapsed="false">
      <c r="A17" s="5" t="s">
        <v>199</v>
      </c>
      <c r="B17" s="5" t="s">
        <v>200</v>
      </c>
      <c r="C17" s="5" t="n">
        <v>2009</v>
      </c>
      <c r="D17" s="5" t="s">
        <v>1156</v>
      </c>
      <c r="E17" s="5" t="s">
        <v>1157</v>
      </c>
      <c r="F17" s="5" t="n">
        <v>732</v>
      </c>
      <c r="G17" s="5" t="n">
        <f aca="false">IF(F17="","",ROUND(F17/(2026-C17+1),1))</f>
        <v>40.7</v>
      </c>
      <c r="H17" s="5" t="s">
        <v>1112</v>
      </c>
      <c r="I17" s="5" t="s">
        <v>1125</v>
      </c>
      <c r="J17" s="5" t="s">
        <v>1158</v>
      </c>
    </row>
    <row r="18" customFormat="false" ht="15" hidden="false" customHeight="false" outlineLevel="0" collapsed="false">
      <c r="A18" s="5" t="s">
        <v>212</v>
      </c>
      <c r="B18" s="5" t="s">
        <v>213</v>
      </c>
      <c r="C18" s="5" t="n">
        <v>2009</v>
      </c>
      <c r="D18" s="5" t="s">
        <v>1159</v>
      </c>
      <c r="E18" s="5" t="s">
        <v>1160</v>
      </c>
      <c r="F18" s="5" t="n">
        <v>1023</v>
      </c>
      <c r="G18" s="5" t="n">
        <f aca="false">IF(F18="","",ROUND(F18/(2026-C18+1),1))</f>
        <v>56.8</v>
      </c>
      <c r="H18" s="5" t="s">
        <v>1112</v>
      </c>
      <c r="I18" s="5" t="s">
        <v>1125</v>
      </c>
      <c r="J18" s="5" t="s">
        <v>1161</v>
      </c>
    </row>
    <row r="19" customFormat="false" ht="15" hidden="false" customHeight="false" outlineLevel="0" collapsed="false">
      <c r="A19" s="5" t="s">
        <v>220</v>
      </c>
      <c r="B19" s="5" t="s">
        <v>129</v>
      </c>
      <c r="C19" s="5" t="n">
        <v>2010</v>
      </c>
      <c r="D19" s="5" t="s">
        <v>1162</v>
      </c>
      <c r="E19" s="5" t="s">
        <v>1163</v>
      </c>
      <c r="F19" s="5" t="n">
        <v>350</v>
      </c>
      <c r="G19" s="5" t="n">
        <f aca="false">IF(F19="","",ROUND(F19/(2026-C19+1),1))</f>
        <v>20.6</v>
      </c>
      <c r="H19" s="5" t="s">
        <v>1112</v>
      </c>
      <c r="I19" s="5" t="s">
        <v>1125</v>
      </c>
      <c r="J19" s="5" t="s">
        <v>1164</v>
      </c>
    </row>
    <row r="20" customFormat="false" ht="15" hidden="false" customHeight="false" outlineLevel="0" collapsed="false">
      <c r="A20" s="5" t="s">
        <v>232</v>
      </c>
      <c r="B20" s="5" t="s">
        <v>233</v>
      </c>
      <c r="C20" s="5" t="n">
        <v>2010</v>
      </c>
      <c r="D20" s="5" t="s">
        <v>1165</v>
      </c>
      <c r="E20" s="5" t="s">
        <v>1166</v>
      </c>
      <c r="F20" s="5" t="n">
        <v>208</v>
      </c>
      <c r="G20" s="5" t="n">
        <f aca="false">IF(F20="","",ROUND(F20/(2026-C20+1),1))</f>
        <v>12.2</v>
      </c>
      <c r="H20" s="5" t="s">
        <v>1112</v>
      </c>
      <c r="I20" s="5" t="s">
        <v>1125</v>
      </c>
      <c r="J20" s="5"/>
    </row>
    <row r="21" customFormat="false" ht="15" hidden="false" customHeight="false" outlineLevel="0" collapsed="false">
      <c r="A21" s="5" t="s">
        <v>248</v>
      </c>
      <c r="B21" s="5" t="s">
        <v>249</v>
      </c>
      <c r="C21" s="5" t="n">
        <v>2010</v>
      </c>
      <c r="D21" s="5" t="s">
        <v>1167</v>
      </c>
      <c r="E21" s="5" t="s">
        <v>1168</v>
      </c>
      <c r="F21" s="5" t="n">
        <v>1867</v>
      </c>
      <c r="G21" s="5" t="n">
        <f aca="false">IF(F21="","",ROUND(F21/(2026-C21+1),1))</f>
        <v>109.8</v>
      </c>
      <c r="H21" s="5" t="s">
        <v>1112</v>
      </c>
      <c r="I21" s="5" t="s">
        <v>1125</v>
      </c>
      <c r="J21" s="5" t="s">
        <v>1169</v>
      </c>
    </row>
    <row r="22" customFormat="false" ht="15" hidden="false" customHeight="false" outlineLevel="0" collapsed="false">
      <c r="A22" s="5" t="s">
        <v>261</v>
      </c>
      <c r="B22" s="5" t="s">
        <v>262</v>
      </c>
      <c r="C22" s="5" t="n">
        <v>2010</v>
      </c>
      <c r="D22" s="5" t="s">
        <v>1170</v>
      </c>
      <c r="E22" s="5" t="s">
        <v>1171</v>
      </c>
      <c r="F22" s="5" t="n">
        <v>229</v>
      </c>
      <c r="G22" s="5" t="n">
        <f aca="false">IF(F22="","",ROUND(F22/(2026-C22+1),1))</f>
        <v>13.5</v>
      </c>
      <c r="H22" s="5" t="s">
        <v>1112</v>
      </c>
      <c r="I22" s="5" t="s">
        <v>1125</v>
      </c>
      <c r="J22" s="5" t="s">
        <v>1138</v>
      </c>
    </row>
    <row r="23" customFormat="false" ht="15" hidden="false" customHeight="false" outlineLevel="0" collapsed="false">
      <c r="A23" s="5" t="s">
        <v>276</v>
      </c>
      <c r="B23" s="5" t="s">
        <v>277</v>
      </c>
      <c r="C23" s="5" t="n">
        <v>2011</v>
      </c>
      <c r="D23" s="5" t="s">
        <v>1172</v>
      </c>
      <c r="E23" s="5" t="s">
        <v>1173</v>
      </c>
      <c r="F23" s="5" t="n">
        <v>152</v>
      </c>
      <c r="G23" s="5" t="n">
        <f aca="false">IF(F23="","",ROUND(F23/(2026-C23+1),1))</f>
        <v>9.5</v>
      </c>
      <c r="H23" s="5" t="s">
        <v>1112</v>
      </c>
      <c r="I23" s="5" t="s">
        <v>1125</v>
      </c>
      <c r="J23" s="5"/>
    </row>
    <row r="24" customFormat="false" ht="15" hidden="false" customHeight="false" outlineLevel="0" collapsed="false">
      <c r="A24" s="5" t="s">
        <v>291</v>
      </c>
      <c r="B24" s="5" t="s">
        <v>292</v>
      </c>
      <c r="C24" s="5" t="n">
        <v>2013</v>
      </c>
      <c r="D24" s="5" t="s">
        <v>1174</v>
      </c>
      <c r="E24" s="5" t="s">
        <v>1175</v>
      </c>
      <c r="F24" s="5" t="n">
        <v>129</v>
      </c>
      <c r="G24" s="5" t="n">
        <f aca="false">IF(F24="","",ROUND(F24/(2026-C24+1),1))</f>
        <v>9.2</v>
      </c>
      <c r="H24" s="5" t="s">
        <v>1112</v>
      </c>
      <c r="I24" s="5" t="s">
        <v>1125</v>
      </c>
      <c r="J24" s="5" t="s">
        <v>1138</v>
      </c>
    </row>
    <row r="25" customFormat="false" ht="15" hidden="false" customHeight="false" outlineLevel="0" collapsed="false">
      <c r="A25" s="5" t="s">
        <v>308</v>
      </c>
      <c r="B25" s="5" t="s">
        <v>309</v>
      </c>
      <c r="C25" s="5" t="n">
        <v>2013</v>
      </c>
      <c r="D25" s="5" t="s">
        <v>1176</v>
      </c>
      <c r="E25" s="5" t="s">
        <v>1177</v>
      </c>
      <c r="F25" s="5" t="n">
        <v>388</v>
      </c>
      <c r="G25" s="5" t="n">
        <f aca="false">IF(F25="","",ROUND(F25/(2026-C25+1),1))</f>
        <v>27.7</v>
      </c>
      <c r="H25" s="5" t="s">
        <v>1112</v>
      </c>
      <c r="I25" s="5" t="s">
        <v>1125</v>
      </c>
      <c r="J25" s="5" t="s">
        <v>1178</v>
      </c>
    </row>
    <row r="26" customFormat="false" ht="15" hidden="false" customHeight="false" outlineLevel="0" collapsed="false">
      <c r="A26" s="5" t="s">
        <v>326</v>
      </c>
      <c r="B26" s="5" t="s">
        <v>327</v>
      </c>
      <c r="C26" s="5" t="n">
        <v>2014</v>
      </c>
      <c r="D26" s="5" t="s">
        <v>1179</v>
      </c>
      <c r="E26" s="5" t="s">
        <v>1180</v>
      </c>
      <c r="F26" s="5" t="n">
        <v>1153</v>
      </c>
      <c r="G26" s="5" t="n">
        <f aca="false">IF(F26="","",ROUND(F26/(2026-C26+1),1))</f>
        <v>88.7</v>
      </c>
      <c r="H26" s="5" t="s">
        <v>1181</v>
      </c>
      <c r="I26" s="5" t="s">
        <v>1125</v>
      </c>
      <c r="J26" s="5" t="s">
        <v>1182</v>
      </c>
    </row>
    <row r="27" customFormat="false" ht="15" hidden="false" customHeight="false" outlineLevel="0" collapsed="false">
      <c r="A27" s="5" t="s">
        <v>342</v>
      </c>
      <c r="B27" s="5" t="s">
        <v>343</v>
      </c>
      <c r="C27" s="5" t="n">
        <v>2015</v>
      </c>
      <c r="D27" s="5" t="s">
        <v>1183</v>
      </c>
      <c r="E27" s="5" t="s">
        <v>1184</v>
      </c>
      <c r="F27" s="5" t="n">
        <v>124</v>
      </c>
      <c r="G27" s="5" t="n">
        <f aca="false">IF(F27="","",ROUND(F27/(2026-C27+1),1))</f>
        <v>10.3</v>
      </c>
      <c r="H27" s="5" t="s">
        <v>1112</v>
      </c>
      <c r="I27" s="5" t="s">
        <v>1125</v>
      </c>
      <c r="J27" s="5" t="s">
        <v>1185</v>
      </c>
    </row>
    <row r="28" customFormat="false" ht="15" hidden="false" customHeight="false" outlineLevel="0" collapsed="false">
      <c r="A28" s="5" t="s">
        <v>359</v>
      </c>
      <c r="B28" s="5" t="s">
        <v>360</v>
      </c>
      <c r="C28" s="5" t="n">
        <v>2015</v>
      </c>
      <c r="D28" s="5" t="s">
        <v>1186</v>
      </c>
      <c r="E28" s="5" t="s">
        <v>1187</v>
      </c>
      <c r="F28" s="5" t="n">
        <v>235</v>
      </c>
      <c r="G28" s="5" t="n">
        <f aca="false">IF(F28="","",ROUND(F28/(2026-C28+1),1))</f>
        <v>19.6</v>
      </c>
      <c r="H28" s="5" t="s">
        <v>1112</v>
      </c>
      <c r="I28" s="5" t="s">
        <v>1125</v>
      </c>
      <c r="J28" s="5" t="s">
        <v>1138</v>
      </c>
    </row>
    <row r="29" customFormat="false" ht="15" hidden="false" customHeight="false" outlineLevel="0" collapsed="false">
      <c r="A29" s="5" t="s">
        <v>377</v>
      </c>
      <c r="B29" s="5" t="s">
        <v>378</v>
      </c>
      <c r="C29" s="5" t="n">
        <v>2015</v>
      </c>
      <c r="D29" s="5" t="s">
        <v>1188</v>
      </c>
      <c r="E29" s="5" t="s">
        <v>1189</v>
      </c>
      <c r="F29" s="5" t="n">
        <v>105</v>
      </c>
      <c r="G29" s="5" t="n">
        <f aca="false">IF(F29="","",ROUND(F29/(2026-C29+1),1))</f>
        <v>8.8</v>
      </c>
      <c r="H29" s="5" t="s">
        <v>1112</v>
      </c>
      <c r="I29" s="5" t="s">
        <v>1125</v>
      </c>
      <c r="J29" s="5" t="s">
        <v>1190</v>
      </c>
    </row>
    <row r="30" customFormat="false" ht="15" hidden="false" customHeight="false" outlineLevel="0" collapsed="false">
      <c r="A30" s="5" t="s">
        <v>389</v>
      </c>
      <c r="B30" s="5" t="s">
        <v>390</v>
      </c>
      <c r="C30" s="5" t="n">
        <v>2015</v>
      </c>
      <c r="D30" s="5" t="s">
        <v>1191</v>
      </c>
      <c r="E30" s="5" t="s">
        <v>1192</v>
      </c>
      <c r="F30" s="5" t="n">
        <v>627</v>
      </c>
      <c r="G30" s="5" t="n">
        <f aca="false">IF(F30="","",ROUND(F30/(2026-C30+1),1))</f>
        <v>52.3</v>
      </c>
      <c r="H30" s="5" t="s">
        <v>1112</v>
      </c>
      <c r="I30" s="5" t="s">
        <v>1125</v>
      </c>
      <c r="J30" s="5" t="s">
        <v>1193</v>
      </c>
    </row>
    <row r="31" customFormat="false" ht="15" hidden="false" customHeight="false" outlineLevel="0" collapsed="false">
      <c r="A31" s="5" t="s">
        <v>407</v>
      </c>
      <c r="B31" s="5" t="s">
        <v>408</v>
      </c>
      <c r="C31" s="5" t="n">
        <v>2015</v>
      </c>
      <c r="D31" s="5" t="s">
        <v>1194</v>
      </c>
      <c r="E31" s="5" t="s">
        <v>1195</v>
      </c>
      <c r="F31" s="5" t="n">
        <v>414</v>
      </c>
      <c r="G31" s="5" t="n">
        <f aca="false">IF(F31="","",ROUND(F31/(2026-C31+1),1))</f>
        <v>34.5</v>
      </c>
      <c r="H31" s="5" t="s">
        <v>1112</v>
      </c>
      <c r="I31" s="5" t="s">
        <v>1125</v>
      </c>
      <c r="J31" s="5" t="s">
        <v>1196</v>
      </c>
    </row>
    <row r="32" customFormat="false" ht="15" hidden="false" customHeight="false" outlineLevel="0" collapsed="false">
      <c r="A32" s="5" t="s">
        <v>418</v>
      </c>
      <c r="B32" s="5" t="s">
        <v>419</v>
      </c>
      <c r="C32" s="5" t="n">
        <v>2016</v>
      </c>
      <c r="D32" s="5" t="s">
        <v>1197</v>
      </c>
      <c r="E32" s="5"/>
      <c r="F32" s="5" t="n">
        <v>291</v>
      </c>
      <c r="G32" s="5" t="n">
        <f aca="false">IF(F32="","",ROUND(F32/(2026-C32+1),1))</f>
        <v>26.5</v>
      </c>
      <c r="H32" s="5" t="s">
        <v>1112</v>
      </c>
      <c r="I32" s="5" t="s">
        <v>1125</v>
      </c>
      <c r="J32" s="5" t="s">
        <v>1198</v>
      </c>
    </row>
    <row r="33" customFormat="false" ht="15" hidden="false" customHeight="false" outlineLevel="0" collapsed="false">
      <c r="A33" s="5" t="s">
        <v>428</v>
      </c>
      <c r="B33" s="5" t="s">
        <v>429</v>
      </c>
      <c r="C33" s="5" t="n">
        <v>2016</v>
      </c>
      <c r="D33" s="5" t="s">
        <v>1199</v>
      </c>
      <c r="E33" s="5" t="s">
        <v>1200</v>
      </c>
      <c r="F33" s="5" t="n">
        <v>25</v>
      </c>
      <c r="G33" s="5" t="n">
        <f aca="false">IF(F33="","",ROUND(F33/(2026-C33+1),1))</f>
        <v>2.3</v>
      </c>
      <c r="H33" s="5" t="s">
        <v>1181</v>
      </c>
      <c r="I33" s="5" t="s">
        <v>1125</v>
      </c>
      <c r="J33" s="5" t="s">
        <v>1201</v>
      </c>
    </row>
    <row r="34" customFormat="false" ht="15" hidden="false" customHeight="false" outlineLevel="0" collapsed="false">
      <c r="A34" s="5" t="s">
        <v>446</v>
      </c>
      <c r="B34" s="5" t="s">
        <v>447</v>
      </c>
      <c r="C34" s="5" t="n">
        <v>2016</v>
      </c>
      <c r="D34" s="5" t="s">
        <v>1202</v>
      </c>
      <c r="E34" s="5" t="s">
        <v>1203</v>
      </c>
      <c r="F34" s="5" t="n">
        <v>411</v>
      </c>
      <c r="G34" s="5" t="n">
        <f aca="false">IF(F34="","",ROUND(F34/(2026-C34+1),1))</f>
        <v>37.4</v>
      </c>
      <c r="H34" s="5" t="s">
        <v>1112</v>
      </c>
      <c r="I34" s="5" t="s">
        <v>1125</v>
      </c>
      <c r="J34" s="5" t="s">
        <v>1204</v>
      </c>
    </row>
    <row r="35" customFormat="false" ht="15" hidden="false" customHeight="false" outlineLevel="0" collapsed="false">
      <c r="A35" s="5" t="s">
        <v>461</v>
      </c>
      <c r="B35" s="5" t="s">
        <v>462</v>
      </c>
      <c r="C35" s="5" t="n">
        <v>2017</v>
      </c>
      <c r="D35" s="5" t="s">
        <v>1205</v>
      </c>
      <c r="E35" s="5" t="s">
        <v>1206</v>
      </c>
      <c r="F35" s="5" t="n">
        <v>277</v>
      </c>
      <c r="G35" s="5" t="n">
        <f aca="false">IF(F35="","",ROUND(F35/(2026-C35+1),1))</f>
        <v>27.7</v>
      </c>
      <c r="H35" s="5" t="s">
        <v>1112</v>
      </c>
      <c r="I35" s="5" t="s">
        <v>1125</v>
      </c>
      <c r="J35" s="5" t="s">
        <v>1207</v>
      </c>
    </row>
    <row r="36" customFormat="false" ht="15" hidden="false" customHeight="false" outlineLevel="0" collapsed="false">
      <c r="A36" s="5" t="s">
        <v>478</v>
      </c>
      <c r="B36" s="5" t="s">
        <v>479</v>
      </c>
      <c r="C36" s="5" t="n">
        <v>2018</v>
      </c>
      <c r="D36" s="5" t="s">
        <v>1208</v>
      </c>
      <c r="E36" s="5" t="s">
        <v>1209</v>
      </c>
      <c r="F36" s="5" t="n">
        <v>80</v>
      </c>
      <c r="G36" s="5" t="n">
        <f aca="false">IF(F36="","",ROUND(F36/(2026-C36+1),1))</f>
        <v>8.9</v>
      </c>
      <c r="H36" s="5" t="s">
        <v>1112</v>
      </c>
      <c r="I36" s="5" t="s">
        <v>1125</v>
      </c>
      <c r="J36" s="5" t="s">
        <v>1210</v>
      </c>
    </row>
    <row r="37" customFormat="false" ht="15" hidden="false" customHeight="false" outlineLevel="0" collapsed="false">
      <c r="A37" s="5" t="s">
        <v>495</v>
      </c>
      <c r="B37" s="5" t="s">
        <v>496</v>
      </c>
      <c r="C37" s="5" t="n">
        <v>2018</v>
      </c>
      <c r="D37" s="5" t="s">
        <v>1211</v>
      </c>
      <c r="E37" s="5" t="s">
        <v>1212</v>
      </c>
      <c r="F37" s="5" t="n">
        <v>1273</v>
      </c>
      <c r="G37" s="5" t="n">
        <f aca="false">IF(F37="","",ROUND(F37/(2026-C37+1),1))</f>
        <v>141.4</v>
      </c>
      <c r="H37" s="5" t="s">
        <v>1112</v>
      </c>
      <c r="I37" s="5" t="s">
        <v>1125</v>
      </c>
      <c r="J37" s="5" t="s">
        <v>1213</v>
      </c>
    </row>
    <row r="38" customFormat="false" ht="15" hidden="false" customHeight="false" outlineLevel="0" collapsed="false">
      <c r="A38" s="5" t="s">
        <v>514</v>
      </c>
      <c r="B38" s="5" t="s">
        <v>515</v>
      </c>
      <c r="C38" s="5" t="n">
        <v>2018</v>
      </c>
      <c r="D38" s="5" t="s">
        <v>1214</v>
      </c>
      <c r="E38" s="5" t="s">
        <v>1215</v>
      </c>
      <c r="F38" s="5" t="n">
        <v>71</v>
      </c>
      <c r="G38" s="5" t="n">
        <f aca="false">IF(F38="","",ROUND(F38/(2026-C38+1),1))</f>
        <v>7.9</v>
      </c>
      <c r="H38" s="5" t="s">
        <v>1112</v>
      </c>
      <c r="I38" s="5" t="s">
        <v>1125</v>
      </c>
      <c r="J38" s="5" t="s">
        <v>1138</v>
      </c>
    </row>
    <row r="39" customFormat="false" ht="15" hidden="false" customHeight="false" outlineLevel="0" collapsed="false">
      <c r="A39" s="5" t="s">
        <v>532</v>
      </c>
      <c r="B39" s="5" t="s">
        <v>533</v>
      </c>
      <c r="C39" s="5" t="n">
        <v>2018</v>
      </c>
      <c r="D39" s="5" t="s">
        <v>1216</v>
      </c>
      <c r="E39" s="5" t="s">
        <v>1217</v>
      </c>
      <c r="F39" s="5" t="n">
        <v>3053</v>
      </c>
      <c r="G39" s="5" t="n">
        <f aca="false">IF(F39="","",ROUND(F39/(2026-C39+1),1))</f>
        <v>339.2</v>
      </c>
      <c r="H39" s="5" t="s">
        <v>1112</v>
      </c>
      <c r="I39" s="5" t="s">
        <v>1125</v>
      </c>
      <c r="J39" s="5" t="s">
        <v>1218</v>
      </c>
    </row>
    <row r="40" customFormat="false" ht="15" hidden="false" customHeight="false" outlineLevel="0" collapsed="false">
      <c r="A40" s="5" t="s">
        <v>546</v>
      </c>
      <c r="B40" s="5" t="s">
        <v>547</v>
      </c>
      <c r="C40" s="5" t="n">
        <v>2019</v>
      </c>
      <c r="D40" s="5" t="s">
        <v>1219</v>
      </c>
      <c r="E40" s="5" t="s">
        <v>1220</v>
      </c>
      <c r="F40" s="5" t="n">
        <v>982</v>
      </c>
      <c r="G40" s="5" t="n">
        <f aca="false">IF(F40="","",ROUND(F40/(2026-C40+1),1))</f>
        <v>122.8</v>
      </c>
      <c r="H40" s="5" t="s">
        <v>1181</v>
      </c>
      <c r="I40" s="5" t="s">
        <v>1125</v>
      </c>
      <c r="J40" s="5" t="s">
        <v>1221</v>
      </c>
    </row>
    <row r="41" customFormat="false" ht="15" hidden="false" customHeight="false" outlineLevel="0" collapsed="false">
      <c r="A41" s="5" t="s">
        <v>560</v>
      </c>
      <c r="B41" s="5" t="s">
        <v>561</v>
      </c>
      <c r="C41" s="5" t="n">
        <v>2019</v>
      </c>
      <c r="D41" s="5" t="s">
        <v>1222</v>
      </c>
      <c r="E41" s="5" t="s">
        <v>1223</v>
      </c>
      <c r="F41" s="5" t="n">
        <v>291</v>
      </c>
      <c r="G41" s="5" t="n">
        <f aca="false">IF(F41="","",ROUND(F41/(2026-C41+1),1))</f>
        <v>36.4</v>
      </c>
      <c r="H41" s="5" t="s">
        <v>1112</v>
      </c>
      <c r="I41" s="5" t="s">
        <v>1125</v>
      </c>
      <c r="J41" s="5"/>
    </row>
    <row r="42" customFormat="false" ht="15" hidden="false" customHeight="false" outlineLevel="0" collapsed="false">
      <c r="A42" s="5" t="s">
        <v>574</v>
      </c>
      <c r="B42" s="5" t="s">
        <v>575</v>
      </c>
      <c r="C42" s="5" t="n">
        <v>2019</v>
      </c>
      <c r="D42" s="5" t="s">
        <v>1224</v>
      </c>
      <c r="E42" s="5" t="s">
        <v>1225</v>
      </c>
      <c r="F42" s="5" t="n">
        <v>244</v>
      </c>
      <c r="G42" s="5" t="n">
        <f aca="false">IF(F42="","",ROUND(F42/(2026-C42+1),1))</f>
        <v>30.5</v>
      </c>
      <c r="H42" s="5" t="s">
        <v>1112</v>
      </c>
      <c r="I42" s="5" t="s">
        <v>1125</v>
      </c>
      <c r="J42" s="5"/>
    </row>
    <row r="43" customFormat="false" ht="15" hidden="false" customHeight="false" outlineLevel="0" collapsed="false">
      <c r="A43" s="5" t="s">
        <v>588</v>
      </c>
      <c r="B43" s="5" t="s">
        <v>589</v>
      </c>
      <c r="C43" s="5" t="n">
        <v>2019</v>
      </c>
      <c r="D43" s="5" t="s">
        <v>1226</v>
      </c>
      <c r="E43" s="5" t="s">
        <v>1227</v>
      </c>
      <c r="F43" s="5" t="n">
        <v>148</v>
      </c>
      <c r="G43" s="5" t="n">
        <f aca="false">IF(F43="","",ROUND(F43/(2026-C43+1),1))</f>
        <v>18.5</v>
      </c>
      <c r="H43" s="5" t="s">
        <v>1112</v>
      </c>
      <c r="I43" s="5" t="s">
        <v>1125</v>
      </c>
      <c r="J43" s="5" t="s">
        <v>1228</v>
      </c>
    </row>
    <row r="44" customFormat="false" ht="15" hidden="false" customHeight="false" outlineLevel="0" collapsed="false">
      <c r="A44" s="5" t="s">
        <v>605</v>
      </c>
      <c r="B44" s="5" t="s">
        <v>606</v>
      </c>
      <c r="C44" s="5" t="n">
        <v>2019</v>
      </c>
      <c r="D44" s="5" t="s">
        <v>1229</v>
      </c>
      <c r="E44" s="5" t="s">
        <v>1230</v>
      </c>
      <c r="F44" s="5" t="n">
        <v>51</v>
      </c>
      <c r="G44" s="5" t="n">
        <f aca="false">IF(F44="","",ROUND(F44/(2026-C44+1),1))</f>
        <v>6.4</v>
      </c>
      <c r="H44" s="5" t="s">
        <v>1112</v>
      </c>
      <c r="I44" s="5" t="s">
        <v>1125</v>
      </c>
      <c r="J44" s="5"/>
    </row>
    <row r="45" customFormat="false" ht="15" hidden="false" customHeight="false" outlineLevel="0" collapsed="false">
      <c r="A45" s="5" t="s">
        <v>620</v>
      </c>
      <c r="B45" s="5" t="s">
        <v>621</v>
      </c>
      <c r="C45" s="5" t="n">
        <v>2020</v>
      </c>
      <c r="D45" s="5" t="s">
        <v>1231</v>
      </c>
      <c r="E45" s="5" t="s">
        <v>1232</v>
      </c>
      <c r="F45" s="5" t="n">
        <v>34</v>
      </c>
      <c r="G45" s="5" t="n">
        <f aca="false">IF(F45="","",ROUND(F45/(2026-C45+1),1))</f>
        <v>4.9</v>
      </c>
      <c r="H45" s="5" t="s">
        <v>1112</v>
      </c>
      <c r="I45" s="5" t="s">
        <v>1125</v>
      </c>
      <c r="J45" s="5"/>
    </row>
    <row r="46" customFormat="false" ht="15" hidden="false" customHeight="false" outlineLevel="0" collapsed="false">
      <c r="A46" s="5" t="s">
        <v>630</v>
      </c>
      <c r="B46" s="5" t="s">
        <v>631</v>
      </c>
      <c r="C46" s="5" t="n">
        <v>2020</v>
      </c>
      <c r="D46" s="5" t="s">
        <v>1233</v>
      </c>
      <c r="E46" s="5" t="s">
        <v>1234</v>
      </c>
      <c r="F46" s="5" t="n">
        <v>38</v>
      </c>
      <c r="G46" s="5" t="n">
        <f aca="false">IF(F46="","",ROUND(F46/(2026-C46+1),1))</f>
        <v>5.4</v>
      </c>
      <c r="H46" s="5" t="s">
        <v>1112</v>
      </c>
      <c r="I46" s="5" t="s">
        <v>1125</v>
      </c>
      <c r="J46" s="5" t="s">
        <v>1235</v>
      </c>
    </row>
    <row r="47" customFormat="false" ht="15" hidden="false" customHeight="false" outlineLevel="0" collapsed="false">
      <c r="A47" s="5" t="s">
        <v>646</v>
      </c>
      <c r="B47" s="5" t="s">
        <v>647</v>
      </c>
      <c r="C47" s="5" t="n">
        <v>2020</v>
      </c>
      <c r="D47" s="5" t="s">
        <v>1236</v>
      </c>
      <c r="E47" s="5" t="s">
        <v>1237</v>
      </c>
      <c r="F47" s="5" t="n">
        <v>93</v>
      </c>
      <c r="G47" s="5" t="n">
        <f aca="false">IF(F47="","",ROUND(F47/(2026-C47+1),1))</f>
        <v>13.3</v>
      </c>
      <c r="H47" s="5" t="s">
        <v>1112</v>
      </c>
      <c r="I47" s="5" t="s">
        <v>1125</v>
      </c>
      <c r="J47" s="5" t="s">
        <v>1238</v>
      </c>
    </row>
    <row r="48" customFormat="false" ht="15" hidden="false" customHeight="false" outlineLevel="0" collapsed="false">
      <c r="A48" s="5" t="s">
        <v>660</v>
      </c>
      <c r="B48" s="5" t="s">
        <v>661</v>
      </c>
      <c r="C48" s="5" t="n">
        <v>2020</v>
      </c>
      <c r="D48" s="5" t="s">
        <v>1239</v>
      </c>
      <c r="E48" s="5" t="s">
        <v>1240</v>
      </c>
      <c r="F48" s="5" t="n">
        <v>166</v>
      </c>
      <c r="G48" s="5" t="n">
        <f aca="false">IF(F48="","",ROUND(F48/(2026-C48+1),1))</f>
        <v>23.7</v>
      </c>
      <c r="H48" s="5" t="s">
        <v>1112</v>
      </c>
      <c r="I48" s="5" t="s">
        <v>1125</v>
      </c>
      <c r="J48" s="5" t="s">
        <v>1118</v>
      </c>
    </row>
    <row r="49" customFormat="false" ht="15" hidden="false" customHeight="false" outlineLevel="0" collapsed="false">
      <c r="A49" s="5" t="s">
        <v>676</v>
      </c>
      <c r="B49" s="5" t="s">
        <v>677</v>
      </c>
      <c r="C49" s="5" t="n">
        <v>2020</v>
      </c>
      <c r="D49" s="5" t="s">
        <v>1241</v>
      </c>
      <c r="E49" s="5" t="s">
        <v>1242</v>
      </c>
      <c r="F49" s="5" t="n">
        <v>122</v>
      </c>
      <c r="G49" s="5" t="n">
        <f aca="false">IF(F49="","",ROUND(F49/(2026-C49+1),1))</f>
        <v>17.4</v>
      </c>
      <c r="H49" s="5" t="s">
        <v>1112</v>
      </c>
      <c r="I49" s="5" t="s">
        <v>1125</v>
      </c>
      <c r="J49" s="5" t="s">
        <v>1243</v>
      </c>
    </row>
    <row r="50" customFormat="false" ht="15" hidden="false" customHeight="false" outlineLevel="0" collapsed="false">
      <c r="A50" s="5" t="s">
        <v>692</v>
      </c>
      <c r="B50" s="5" t="s">
        <v>693</v>
      </c>
      <c r="C50" s="5" t="n">
        <v>2020</v>
      </c>
      <c r="D50" s="5" t="s">
        <v>1244</v>
      </c>
      <c r="E50" s="5" t="s">
        <v>1245</v>
      </c>
      <c r="F50" s="5" t="n">
        <v>286</v>
      </c>
      <c r="G50" s="5" t="n">
        <f aca="false">IF(F50="","",ROUND(F50/(2026-C50+1),1))</f>
        <v>40.9</v>
      </c>
      <c r="H50" s="5" t="s">
        <v>1112</v>
      </c>
      <c r="I50" s="5" t="s">
        <v>1125</v>
      </c>
      <c r="J50" s="5" t="s">
        <v>1235</v>
      </c>
    </row>
    <row r="51" customFormat="false" ht="15" hidden="false" customHeight="false" outlineLevel="0" collapsed="false">
      <c r="A51" s="5" t="s">
        <v>709</v>
      </c>
      <c r="B51" s="5" t="s">
        <v>710</v>
      </c>
      <c r="C51" s="5" t="n">
        <v>2020</v>
      </c>
      <c r="D51" s="5" t="s">
        <v>1246</v>
      </c>
      <c r="E51" s="5" t="s">
        <v>1247</v>
      </c>
      <c r="F51" s="5" t="n">
        <v>233</v>
      </c>
      <c r="G51" s="5" t="n">
        <f aca="false">IF(F51="","",ROUND(F51/(2026-C51+1),1))</f>
        <v>33.3</v>
      </c>
      <c r="H51" s="5" t="s">
        <v>1112</v>
      </c>
      <c r="I51" s="5" t="s">
        <v>1125</v>
      </c>
      <c r="J51" s="5"/>
    </row>
    <row r="52" customFormat="false" ht="15" hidden="false" customHeight="false" outlineLevel="0" collapsed="false">
      <c r="A52" s="5" t="s">
        <v>726</v>
      </c>
      <c r="B52" s="5" t="s">
        <v>727</v>
      </c>
      <c r="C52" s="5" t="n">
        <v>2021</v>
      </c>
      <c r="D52" s="5" t="s">
        <v>1248</v>
      </c>
      <c r="E52" s="5" t="s">
        <v>1249</v>
      </c>
      <c r="F52" s="5" t="n">
        <v>18</v>
      </c>
      <c r="G52" s="5" t="n">
        <f aca="false">IF(F52="","",ROUND(F52/(2026-C52+1),1))</f>
        <v>3</v>
      </c>
      <c r="H52" s="5" t="s">
        <v>1112</v>
      </c>
      <c r="I52" s="5" t="s">
        <v>1125</v>
      </c>
      <c r="J52" s="5" t="s">
        <v>1250</v>
      </c>
    </row>
    <row r="53" customFormat="false" ht="15" hidden="false" customHeight="false" outlineLevel="0" collapsed="false">
      <c r="A53" s="5" t="s">
        <v>744</v>
      </c>
      <c r="B53" s="5" t="s">
        <v>745</v>
      </c>
      <c r="C53" s="5" t="n">
        <v>2021</v>
      </c>
      <c r="D53" s="5" t="s">
        <v>1251</v>
      </c>
      <c r="E53" s="5" t="s">
        <v>1252</v>
      </c>
      <c r="F53" s="5" t="n">
        <v>89</v>
      </c>
      <c r="G53" s="5" t="n">
        <f aca="false">IF(F53="","",ROUND(F53/(2026-C53+1),1))</f>
        <v>14.8</v>
      </c>
      <c r="H53" s="5" t="s">
        <v>1112</v>
      </c>
      <c r="I53" s="5" t="s">
        <v>1125</v>
      </c>
      <c r="J53" s="5" t="s">
        <v>1253</v>
      </c>
    </row>
    <row r="54" customFormat="false" ht="15" hidden="false" customHeight="false" outlineLevel="0" collapsed="false">
      <c r="A54" s="5" t="s">
        <v>1254</v>
      </c>
      <c r="B54" s="5" t="s">
        <v>1255</v>
      </c>
      <c r="C54" s="5" t="n">
        <v>2021</v>
      </c>
      <c r="D54" s="5" t="s">
        <v>1256</v>
      </c>
      <c r="E54" s="5" t="s">
        <v>1257</v>
      </c>
      <c r="F54" s="5" t="n">
        <v>166</v>
      </c>
      <c r="G54" s="5" t="n">
        <f aca="false">IF(F54="","",ROUND(F54/(2026-C54+1),1))</f>
        <v>27.7</v>
      </c>
      <c r="H54" s="5" t="s">
        <v>1112</v>
      </c>
      <c r="I54" s="5" t="s">
        <v>1113</v>
      </c>
      <c r="J54" s="5" t="s">
        <v>1258</v>
      </c>
    </row>
    <row r="55" customFormat="false" ht="15" hidden="false" customHeight="false" outlineLevel="0" collapsed="false">
      <c r="A55" s="5" t="s">
        <v>761</v>
      </c>
      <c r="B55" s="5" t="s">
        <v>762</v>
      </c>
      <c r="C55" s="5" t="n">
        <v>2021</v>
      </c>
      <c r="D55" s="5" t="s">
        <v>1259</v>
      </c>
      <c r="E55" s="5" t="s">
        <v>1260</v>
      </c>
      <c r="F55" s="5" t="n">
        <v>178</v>
      </c>
      <c r="G55" s="5" t="n">
        <f aca="false">IF(F55="","",ROUND(F55/(2026-C55+1),1))</f>
        <v>29.7</v>
      </c>
      <c r="H55" s="5" t="s">
        <v>1112</v>
      </c>
      <c r="I55" s="5" t="s">
        <v>1125</v>
      </c>
      <c r="J55" s="5" t="s">
        <v>1261</v>
      </c>
    </row>
    <row r="56" customFormat="false" ht="15" hidden="false" customHeight="false" outlineLevel="0" collapsed="false">
      <c r="A56" s="5" t="s">
        <v>779</v>
      </c>
      <c r="B56" s="5" t="s">
        <v>780</v>
      </c>
      <c r="C56" s="5" t="n">
        <v>2022</v>
      </c>
      <c r="D56" s="5" t="s">
        <v>1262</v>
      </c>
      <c r="E56" s="5" t="s">
        <v>1263</v>
      </c>
      <c r="F56" s="5" t="n">
        <v>31</v>
      </c>
      <c r="G56" s="5" t="n">
        <f aca="false">IF(F56="","",ROUND(F56/(2026-C56+1),1))</f>
        <v>6.2</v>
      </c>
      <c r="H56" s="5" t="s">
        <v>1112</v>
      </c>
      <c r="I56" s="5" t="s">
        <v>1125</v>
      </c>
      <c r="J56" s="5" t="s">
        <v>1118</v>
      </c>
    </row>
    <row r="57" customFormat="false" ht="15" hidden="false" customHeight="false" outlineLevel="0" collapsed="false">
      <c r="A57" s="5" t="s">
        <v>794</v>
      </c>
      <c r="B57" s="5" t="s">
        <v>795</v>
      </c>
      <c r="C57" s="5" t="n">
        <v>2022</v>
      </c>
      <c r="D57" s="5" t="s">
        <v>1264</v>
      </c>
      <c r="E57" s="5" t="s">
        <v>1265</v>
      </c>
      <c r="F57" s="5" t="n">
        <v>177</v>
      </c>
      <c r="G57" s="5" t="n">
        <f aca="false">IF(F57="","",ROUND(F57/(2026-C57+1),1))</f>
        <v>35.4</v>
      </c>
      <c r="H57" s="5" t="s">
        <v>1112</v>
      </c>
      <c r="I57" s="5" t="s">
        <v>1125</v>
      </c>
      <c r="J57" s="5" t="s">
        <v>1266</v>
      </c>
    </row>
    <row r="58" customFormat="false" ht="15" hidden="false" customHeight="false" outlineLevel="0" collapsed="false">
      <c r="A58" s="5" t="s">
        <v>807</v>
      </c>
      <c r="B58" s="5" t="s">
        <v>808</v>
      </c>
      <c r="C58" s="5" t="n">
        <v>2022</v>
      </c>
      <c r="D58" s="5" t="s">
        <v>1267</v>
      </c>
      <c r="E58" s="5" t="s">
        <v>1268</v>
      </c>
      <c r="F58" s="5" t="n">
        <v>143</v>
      </c>
      <c r="G58" s="5" t="n">
        <f aca="false">IF(F58="","",ROUND(F58/(2026-C58+1),1))</f>
        <v>28.6</v>
      </c>
      <c r="H58" s="5" t="s">
        <v>1181</v>
      </c>
      <c r="I58" s="5" t="s">
        <v>1125</v>
      </c>
      <c r="J58" s="5" t="s">
        <v>1269</v>
      </c>
    </row>
    <row r="59" customFormat="false" ht="15" hidden="false" customHeight="false" outlineLevel="0" collapsed="false">
      <c r="A59" s="5" t="s">
        <v>821</v>
      </c>
      <c r="B59" s="5" t="s">
        <v>822</v>
      </c>
      <c r="C59" s="5" t="n">
        <v>2022</v>
      </c>
      <c r="D59" s="5" t="s">
        <v>1270</v>
      </c>
      <c r="E59" s="5" t="s">
        <v>1271</v>
      </c>
      <c r="F59" s="5" t="n">
        <v>138</v>
      </c>
      <c r="G59" s="5" t="n">
        <f aca="false">IF(F59="","",ROUND(F59/(2026-C59+1),1))</f>
        <v>27.6</v>
      </c>
      <c r="H59" s="5" t="s">
        <v>1112</v>
      </c>
      <c r="I59" s="5" t="s">
        <v>1125</v>
      </c>
      <c r="J59" s="5" t="s">
        <v>1272</v>
      </c>
    </row>
    <row r="60" customFormat="false" ht="15" hidden="false" customHeight="false" outlineLevel="0" collapsed="false">
      <c r="A60" s="5" t="s">
        <v>837</v>
      </c>
      <c r="B60" s="5" t="s">
        <v>838</v>
      </c>
      <c r="C60" s="5" t="n">
        <v>2022</v>
      </c>
      <c r="D60" s="5" t="s">
        <v>1273</v>
      </c>
      <c r="E60" s="5" t="s">
        <v>1274</v>
      </c>
      <c r="F60" s="5" t="n">
        <v>5</v>
      </c>
      <c r="G60" s="5" t="n">
        <f aca="false">IF(F60="","",ROUND(F60/(2026-C60+1),1))</f>
        <v>1</v>
      </c>
      <c r="H60" s="5" t="s">
        <v>1112</v>
      </c>
      <c r="I60" s="5" t="s">
        <v>1125</v>
      </c>
      <c r="J60" s="5" t="s">
        <v>1275</v>
      </c>
    </row>
    <row r="61" customFormat="false" ht="15" hidden="false" customHeight="false" outlineLevel="0" collapsed="false">
      <c r="A61" s="5" t="s">
        <v>853</v>
      </c>
      <c r="B61" s="5" t="s">
        <v>854</v>
      </c>
      <c r="C61" s="5" t="n">
        <v>2022</v>
      </c>
      <c r="D61" s="5" t="s">
        <v>1276</v>
      </c>
      <c r="E61" s="5" t="s">
        <v>1277</v>
      </c>
      <c r="F61" s="5" t="n">
        <v>21</v>
      </c>
      <c r="G61" s="5" t="n">
        <f aca="false">IF(F61="","",ROUND(F61/(2026-C61+1),1))</f>
        <v>4.2</v>
      </c>
      <c r="H61" s="5" t="s">
        <v>1181</v>
      </c>
      <c r="I61" s="5" t="s">
        <v>1125</v>
      </c>
      <c r="J61" s="5" t="s">
        <v>1278</v>
      </c>
    </row>
    <row r="62" customFormat="false" ht="15" hidden="false" customHeight="false" outlineLevel="0" collapsed="false">
      <c r="A62" s="5" t="s">
        <v>865</v>
      </c>
      <c r="B62" s="5" t="s">
        <v>866</v>
      </c>
      <c r="C62" s="5" t="n">
        <v>2022</v>
      </c>
      <c r="D62" s="5" t="s">
        <v>1279</v>
      </c>
      <c r="E62" s="5" t="s">
        <v>1280</v>
      </c>
      <c r="F62" s="5" t="n">
        <v>70</v>
      </c>
      <c r="G62" s="5" t="n">
        <f aca="false">IF(F62="","",ROUND(F62/(2026-C62+1),1))</f>
        <v>14</v>
      </c>
      <c r="H62" s="5" t="s">
        <v>1112</v>
      </c>
      <c r="I62" s="5" t="s">
        <v>1125</v>
      </c>
      <c r="J62" s="5" t="s">
        <v>1281</v>
      </c>
    </row>
    <row r="63" customFormat="false" ht="15" hidden="false" customHeight="false" outlineLevel="0" collapsed="false">
      <c r="A63" s="5" t="s">
        <v>1282</v>
      </c>
      <c r="B63" s="5" t="s">
        <v>1283</v>
      </c>
      <c r="C63" s="5" t="n">
        <v>2022</v>
      </c>
      <c r="D63" s="5" t="s">
        <v>1284</v>
      </c>
      <c r="E63" s="5" t="s">
        <v>1285</v>
      </c>
      <c r="F63" s="5" t="n">
        <v>159</v>
      </c>
      <c r="G63" s="5" t="n">
        <f aca="false">IF(F63="","",ROUND(F63/(2026-C63+1),1))</f>
        <v>31.8</v>
      </c>
      <c r="H63" s="5" t="s">
        <v>1112</v>
      </c>
      <c r="I63" s="5" t="s">
        <v>1113</v>
      </c>
      <c r="J63" s="5" t="s">
        <v>1286</v>
      </c>
    </row>
    <row r="64" customFormat="false" ht="15" hidden="false" customHeight="false" outlineLevel="0" collapsed="false">
      <c r="A64" s="5" t="s">
        <v>882</v>
      </c>
      <c r="B64" s="5" t="s">
        <v>883</v>
      </c>
      <c r="C64" s="5" t="n">
        <v>2023</v>
      </c>
      <c r="D64" s="5" t="s">
        <v>1287</v>
      </c>
      <c r="E64" s="5" t="s">
        <v>1288</v>
      </c>
      <c r="F64" s="5" t="n">
        <v>20</v>
      </c>
      <c r="G64" s="5" t="n">
        <f aca="false">IF(F64="","",ROUND(F64/(2026-C64+1),1))</f>
        <v>5</v>
      </c>
      <c r="H64" s="5" t="s">
        <v>1112</v>
      </c>
      <c r="I64" s="5" t="s">
        <v>1125</v>
      </c>
      <c r="J64" s="5" t="s">
        <v>1289</v>
      </c>
    </row>
    <row r="65" customFormat="false" ht="15" hidden="false" customHeight="false" outlineLevel="0" collapsed="false">
      <c r="A65" s="5" t="s">
        <v>898</v>
      </c>
      <c r="B65" s="5" t="s">
        <v>899</v>
      </c>
      <c r="C65" s="5" t="n">
        <v>2023</v>
      </c>
      <c r="D65" s="5" t="s">
        <v>1290</v>
      </c>
      <c r="E65" s="5" t="s">
        <v>1291</v>
      </c>
      <c r="F65" s="5" t="n">
        <v>100</v>
      </c>
      <c r="G65" s="5" t="n">
        <f aca="false">IF(F65="","",ROUND(F65/(2026-C65+1),1))</f>
        <v>25</v>
      </c>
      <c r="H65" s="5" t="s">
        <v>1112</v>
      </c>
      <c r="I65" s="5" t="s">
        <v>1125</v>
      </c>
      <c r="J65" s="5" t="s">
        <v>1292</v>
      </c>
    </row>
    <row r="66" customFormat="false" ht="15" hidden="false" customHeight="false" outlineLevel="0" collapsed="false">
      <c r="A66" s="5" t="s">
        <v>917</v>
      </c>
      <c r="B66" s="5" t="s">
        <v>918</v>
      </c>
      <c r="C66" s="5" t="n">
        <v>2023</v>
      </c>
      <c r="D66" s="5" t="s">
        <v>1293</v>
      </c>
      <c r="E66" s="5" t="s">
        <v>1294</v>
      </c>
      <c r="F66" s="5" t="n">
        <v>69</v>
      </c>
      <c r="G66" s="5" t="n">
        <f aca="false">IF(F66="","",ROUND(F66/(2026-C66+1),1))</f>
        <v>17.3</v>
      </c>
      <c r="H66" s="5" t="s">
        <v>1112</v>
      </c>
      <c r="I66" s="5" t="s">
        <v>1125</v>
      </c>
      <c r="J66" s="5" t="s">
        <v>1295</v>
      </c>
    </row>
    <row r="67" customFormat="false" ht="15" hidden="false" customHeight="false" outlineLevel="0" collapsed="false">
      <c r="A67" s="5" t="s">
        <v>935</v>
      </c>
      <c r="B67" s="5" t="s">
        <v>936</v>
      </c>
      <c r="C67" s="5" t="n">
        <v>2024</v>
      </c>
      <c r="D67" s="5" t="s">
        <v>1296</v>
      </c>
      <c r="E67" s="5" t="s">
        <v>1297</v>
      </c>
      <c r="F67" s="5" t="n">
        <v>21</v>
      </c>
      <c r="G67" s="5" t="n">
        <f aca="false">IF(F67="","",ROUND(F67/(2026-C67+1),1))</f>
        <v>7</v>
      </c>
      <c r="H67" s="5" t="s">
        <v>1112</v>
      </c>
      <c r="I67" s="5" t="s">
        <v>1125</v>
      </c>
      <c r="J67" s="5" t="s">
        <v>1298</v>
      </c>
    </row>
    <row r="68" customFormat="false" ht="15" hidden="false" customHeight="false" outlineLevel="0" collapsed="false">
      <c r="A68" s="5" t="s">
        <v>949</v>
      </c>
      <c r="B68" s="5" t="s">
        <v>950</v>
      </c>
      <c r="C68" s="5" t="n">
        <v>2024</v>
      </c>
      <c r="D68" s="5" t="s">
        <v>1299</v>
      </c>
      <c r="E68" s="5" t="s">
        <v>1300</v>
      </c>
      <c r="F68" s="5" t="n">
        <v>25</v>
      </c>
      <c r="G68" s="5" t="n">
        <f aca="false">IF(F68="","",ROUND(F68/(2026-C68+1),1))</f>
        <v>8.3</v>
      </c>
      <c r="H68" s="5" t="s">
        <v>1112</v>
      </c>
      <c r="I68" s="5" t="s">
        <v>1125</v>
      </c>
      <c r="J68" s="5" t="s">
        <v>1301</v>
      </c>
    </row>
    <row r="69" customFormat="false" ht="15" hidden="false" customHeight="false" outlineLevel="0" collapsed="false">
      <c r="A69" s="5" t="s">
        <v>963</v>
      </c>
      <c r="B69" s="5" t="s">
        <v>964</v>
      </c>
      <c r="C69" s="5" t="n">
        <v>2024</v>
      </c>
      <c r="D69" s="5" t="s">
        <v>1302</v>
      </c>
      <c r="E69" s="5" t="s">
        <v>1303</v>
      </c>
      <c r="F69" s="5" t="n">
        <v>7</v>
      </c>
      <c r="G69" s="5" t="n">
        <f aca="false">IF(F69="","",ROUND(F69/(2026-C69+1),1))</f>
        <v>2.3</v>
      </c>
      <c r="H69" s="5" t="s">
        <v>1112</v>
      </c>
      <c r="I69" s="5" t="s">
        <v>1125</v>
      </c>
      <c r="J69" s="5" t="s">
        <v>1118</v>
      </c>
    </row>
    <row r="70" customFormat="false" ht="15" hidden="false" customHeight="false" outlineLevel="0" collapsed="false">
      <c r="A70" s="5" t="s">
        <v>977</v>
      </c>
      <c r="B70" s="5" t="s">
        <v>978</v>
      </c>
      <c r="C70" s="5" t="n">
        <v>2025</v>
      </c>
      <c r="D70" s="5" t="s">
        <v>1304</v>
      </c>
      <c r="E70" s="5" t="s">
        <v>1305</v>
      </c>
      <c r="F70" s="5" t="n">
        <v>0</v>
      </c>
      <c r="G70" s="5" t="n">
        <f aca="false">IF(F70="","",ROUND(F70/(2026-C70+1),1))</f>
        <v>0</v>
      </c>
      <c r="H70" s="5" t="s">
        <v>1112</v>
      </c>
      <c r="I70" s="5" t="s">
        <v>1113</v>
      </c>
      <c r="J70" s="5" t="s">
        <v>1306</v>
      </c>
    </row>
    <row r="71" customFormat="false" ht="15" hidden="false" customHeight="false" outlineLevel="0" collapsed="false">
      <c r="A71" s="5" t="s">
        <v>994</v>
      </c>
      <c r="B71" s="5" t="s">
        <v>995</v>
      </c>
      <c r="C71" s="5" t="n">
        <v>2025</v>
      </c>
      <c r="D71" s="5" t="s">
        <v>1307</v>
      </c>
      <c r="E71" s="5" t="s">
        <v>1308</v>
      </c>
      <c r="F71" s="5" t="n">
        <v>15</v>
      </c>
      <c r="G71" s="5" t="n">
        <f aca="false">IF(F71="","",ROUND(F71/(2026-C71+1),1))</f>
        <v>7.5</v>
      </c>
      <c r="H71" s="5" t="s">
        <v>1112</v>
      </c>
      <c r="I71" s="5" t="s">
        <v>1113</v>
      </c>
      <c r="J71" s="5" t="s">
        <v>1118</v>
      </c>
    </row>
    <row r="72" customFormat="false" ht="15" hidden="false" customHeight="false" outlineLevel="0" collapsed="false">
      <c r="A72" s="5" t="s">
        <v>1008</v>
      </c>
      <c r="B72" s="5" t="s">
        <v>1009</v>
      </c>
      <c r="C72" s="5" t="n">
        <v>2025</v>
      </c>
      <c r="D72" s="5" t="s">
        <v>1309</v>
      </c>
      <c r="E72" s="5" t="s">
        <v>1310</v>
      </c>
      <c r="F72" s="5" t="n">
        <v>5</v>
      </c>
      <c r="G72" s="5" t="n">
        <f aca="false">IF(F72="","",ROUND(F72/(2026-C72+1),1))</f>
        <v>2.5</v>
      </c>
      <c r="H72" s="5" t="s">
        <v>1112</v>
      </c>
      <c r="I72" s="5" t="s">
        <v>1113</v>
      </c>
      <c r="J72" s="5" t="s">
        <v>1311</v>
      </c>
    </row>
    <row r="73" customFormat="false" ht="15" hidden="false" customHeight="false" outlineLevel="0" collapsed="false">
      <c r="A73" s="5" t="s">
        <v>1025</v>
      </c>
      <c r="B73" s="5" t="s">
        <v>1026</v>
      </c>
      <c r="C73" s="5" t="n">
        <v>2025</v>
      </c>
      <c r="D73" s="5" t="s">
        <v>1312</v>
      </c>
      <c r="E73" s="5" t="s">
        <v>1313</v>
      </c>
      <c r="F73" s="5" t="n">
        <v>1</v>
      </c>
      <c r="G73" s="5" t="n">
        <f aca="false">IF(F73="","",ROUND(F73/(2026-C73+1),1))</f>
        <v>0.5</v>
      </c>
      <c r="H73" s="5" t="s">
        <v>1112</v>
      </c>
      <c r="I73" s="5" t="s">
        <v>1113</v>
      </c>
      <c r="J73" s="5" t="s">
        <v>1314</v>
      </c>
    </row>
    <row r="74" customFormat="false" ht="15" hidden="false" customHeight="false" outlineLevel="0" collapsed="false">
      <c r="A74" s="5" t="s">
        <v>1044</v>
      </c>
      <c r="B74" s="5" t="s">
        <v>1045</v>
      </c>
      <c r="C74" s="5" t="n">
        <v>2025</v>
      </c>
      <c r="D74" s="5" t="s">
        <v>1315</v>
      </c>
      <c r="E74" s="5" t="s">
        <v>1316</v>
      </c>
      <c r="F74" s="5" t="n">
        <v>41</v>
      </c>
      <c r="G74" s="5" t="n">
        <f aca="false">IF(F74="","",ROUND(F74/(2026-C74+1),1))</f>
        <v>20.5</v>
      </c>
      <c r="H74" s="5" t="s">
        <v>1112</v>
      </c>
      <c r="I74" s="5" t="s">
        <v>1113</v>
      </c>
      <c r="J74" s="5" t="s">
        <v>1317</v>
      </c>
    </row>
    <row r="75" customFormat="false" ht="15" hidden="false" customHeight="false" outlineLevel="0" collapsed="false">
      <c r="A75" s="5" t="s">
        <v>1060</v>
      </c>
      <c r="B75" s="5" t="s">
        <v>1061</v>
      </c>
      <c r="C75" s="5" t="n">
        <v>2026</v>
      </c>
      <c r="D75" s="5" t="s">
        <v>1318</v>
      </c>
      <c r="E75" s="5" t="s">
        <v>1319</v>
      </c>
      <c r="F75" s="5" t="n">
        <v>4</v>
      </c>
      <c r="G75" s="5" t="n">
        <f aca="false">IF(F75="","",ROUND(F75/(2026-C75+1),1))</f>
        <v>4</v>
      </c>
      <c r="H75" s="5" t="s">
        <v>1112</v>
      </c>
      <c r="I75" s="5" t="s">
        <v>1113</v>
      </c>
      <c r="J75" s="5" t="s">
        <v>1320</v>
      </c>
    </row>
    <row r="76" customFormat="false" ht="15" hidden="false" customHeight="false" outlineLevel="0" collapsed="false">
      <c r="A76" s="5" t="s">
        <v>1072</v>
      </c>
      <c r="B76" s="5" t="s">
        <v>1073</v>
      </c>
      <c r="C76" s="5" t="n">
        <v>2026</v>
      </c>
      <c r="D76" s="5" t="s">
        <v>1321</v>
      </c>
      <c r="E76" s="5" t="s">
        <v>1322</v>
      </c>
      <c r="F76" s="5" t="n">
        <v>3</v>
      </c>
      <c r="G76" s="5" t="n">
        <f aca="false">IF(F76="","",ROUND(F76/(2026-C76+1),1))</f>
        <v>3</v>
      </c>
      <c r="H76" s="5" t="s">
        <v>1112</v>
      </c>
      <c r="I76" s="5" t="s">
        <v>1113</v>
      </c>
      <c r="J76" s="5" t="s">
        <v>1138</v>
      </c>
    </row>
    <row r="77" customFormat="false" ht="15" hidden="false" customHeight="false" outlineLevel="0" collapsed="false">
      <c r="A77" s="5" t="s">
        <v>1084</v>
      </c>
      <c r="B77" s="5" t="s">
        <v>1085</v>
      </c>
      <c r="C77" s="5" t="n">
        <v>2026</v>
      </c>
      <c r="D77" s="5" t="s">
        <v>1323</v>
      </c>
      <c r="E77" s="5" t="s">
        <v>1324</v>
      </c>
      <c r="F77" s="5" t="n">
        <v>0</v>
      </c>
      <c r="G77" s="5" t="n">
        <f aca="false">IF(F77="","",ROUND(F77/(2026-C77+1),1))</f>
        <v>0</v>
      </c>
      <c r="H77" s="5" t="s">
        <v>1112</v>
      </c>
      <c r="I77" s="5" t="s">
        <v>1113</v>
      </c>
      <c r="J77" s="5" t="s">
        <v>1325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6" t="s">
        <v>15</v>
      </c>
      <c r="B1" s="6" t="s">
        <v>1326</v>
      </c>
    </row>
    <row r="2" customFormat="false" ht="15" hidden="false" customHeight="false" outlineLevel="0" collapsed="false">
      <c r="A2" s="5" t="s">
        <v>1327</v>
      </c>
      <c r="B2" s="5" t="n">
        <f aca="false">COUNTIF(codes!I:I,A2)</f>
        <v>0</v>
      </c>
    </row>
    <row r="3" customFormat="false" ht="15" hidden="false" customHeight="false" outlineLevel="0" collapsed="false">
      <c r="A3" s="5" t="s">
        <v>1328</v>
      </c>
      <c r="B3" s="5" t="n">
        <f aca="false">COUNTIF(codes!I:I,A3)</f>
        <v>0</v>
      </c>
    </row>
    <row r="4" customFormat="false" ht="15" hidden="false" customHeight="false" outlineLevel="0" collapsed="false">
      <c r="A4" s="5" t="s">
        <v>1329</v>
      </c>
      <c r="B4" s="5" t="n">
        <f aca="false">COUNTIF(codes!I:I,A4)</f>
        <v>0</v>
      </c>
    </row>
    <row r="5" customFormat="false" ht="15" hidden="false" customHeight="false" outlineLevel="0" collapsed="false">
      <c r="A5" s="5" t="s">
        <v>1330</v>
      </c>
      <c r="B5" s="5" t="n">
        <f aca="false">COUNTA(codes!A:A)-1-SUM(B2:B4)</f>
        <v>532</v>
      </c>
    </row>
    <row r="6" customFormat="false" ht="15" hidden="false" customHeight="false" outlineLevel="0" collapsed="false">
      <c r="A6" s="6" t="s">
        <v>1331</v>
      </c>
      <c r="B6" s="6" t="n">
        <f aca="false">COUNTA(codes!A:A)-1</f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2026-10-18T16:27:42Z</dcterms:created>
  <dc:creator>openpyxl</dc:creator>
  <dc:description/>
  <dc:language>en-US</dc:language>
  <cp:lastModifiedBy/>
  <dcterms:modified xsi:type="dcterms:W3CDTF">2026-10-18T16:27:42Z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